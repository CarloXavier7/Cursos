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rlo\Downloads\"/>
    </mc:Choice>
  </mc:AlternateContent>
  <xr:revisionPtr revIDLastSave="0" documentId="13_ncr:1_{46C872BF-4D84-41E4-A7F5-8EFFD9407CCC}" xr6:coauthVersionLast="47" xr6:coauthVersionMax="47" xr10:uidLastSave="{00000000-0000-0000-0000-000000000000}"/>
  <bookViews>
    <workbookView xWindow="-120" yWindow="-120" windowWidth="29040" windowHeight="15720" xr2:uid="{D4011366-FFDA-43B8-B3ED-52D5765371AE}"/>
  </bookViews>
  <sheets>
    <sheet name="Investimentos" sheetId="1" r:id="rId1"/>
    <sheet name="Perfil_Investimento" sheetId="2" r:id="rId2"/>
  </sheets>
  <externalReferences>
    <externalReference r:id="rId3"/>
  </externalReferences>
  <definedNames>
    <definedName name="aporte" localSheetId="1">[1]APP!$D$17</definedName>
    <definedName name="Aporte">Investimentos!$D$11</definedName>
    <definedName name="patrimonio" localSheetId="1">[1]APP!$D$20</definedName>
    <definedName name="Patrimonio">Investimentos!$D$14</definedName>
    <definedName name="Perfil">Perfil_Investimento!$G$3:$G$5</definedName>
    <definedName name="qtd_anos">[1]APP!$D$18</definedName>
    <definedName name="Qtde_Anos">Investimentos!$D$12</definedName>
    <definedName name="rendimento_carteira" localSheetId="1">[1]APP!$D$13</definedName>
    <definedName name="Rendimento_Carteira">Investimentos!$D$6</definedName>
    <definedName name="taxa_mensal" localSheetId="1">[1]APP!$D$19</definedName>
    <definedName name="Taxa_Mensal">Investimentos!$D$13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2" l="1" a="1"/>
  <c r="G3" i="2" s="1"/>
  <c r="B20" i="2" l="1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C34" i="1" l="1"/>
  <c r="D34" i="1" s="1"/>
  <c r="C33" i="1"/>
  <c r="D33" i="1" s="1"/>
  <c r="C32" i="1"/>
  <c r="D32" i="1" s="1"/>
  <c r="C31" i="1"/>
  <c r="D31" i="1" s="1"/>
  <c r="C30" i="1"/>
  <c r="D30" i="1" s="1"/>
  <c r="C29" i="1"/>
  <c r="D29" i="1" s="1"/>
  <c r="J4" i="2"/>
  <c r="D8" i="1"/>
  <c r="D11" i="1" s="1"/>
  <c r="D26" i="1" s="1"/>
  <c r="D14" i="1" l="1"/>
  <c r="C20" i="1"/>
  <c r="D20" i="1" s="1"/>
  <c r="C22" i="1"/>
  <c r="D22" i="1" s="1"/>
  <c r="C21" i="1"/>
  <c r="D21" i="1" s="1"/>
  <c r="C18" i="1"/>
  <c r="C19" i="1"/>
  <c r="D19" i="1" s="1"/>
  <c r="D15" i="1" l="1"/>
  <c r="D18" i="1"/>
  <c r="D35" i="1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<sst xmlns="http://schemas.openxmlformats.org/spreadsheetml/2006/main" count="74" uniqueCount="37">
  <si>
    <t>CONFIGURAÇÕES</t>
  </si>
  <si>
    <t>Salário</t>
  </si>
  <si>
    <t>Rendimento Carteira</t>
  </si>
  <si>
    <t>INVESTIMENTO MENSAL</t>
  </si>
  <si>
    <t xml:space="preserve"> Cenários</t>
  </si>
  <si>
    <t>Dividendo</t>
  </si>
  <si>
    <t>Quanto investir por mês?</t>
  </si>
  <si>
    <t>Por Quantos Anos?</t>
  </si>
  <si>
    <t>Taxa de Rendimento mensal?</t>
  </si>
  <si>
    <t>Patrimônio acumulado?</t>
  </si>
  <si>
    <t>Dividendos Mensais?</t>
  </si>
  <si>
    <t>Quanto em 2 Anos?</t>
  </si>
  <si>
    <t>Quanto em 5 Anos?</t>
  </si>
  <si>
    <t>Quanto em 10 Anos?</t>
  </si>
  <si>
    <t>Quanto em 20 Anos?</t>
  </si>
  <si>
    <t>Quanto em 30 Anos?</t>
  </si>
  <si>
    <t>Percentual de Investimento</t>
  </si>
  <si>
    <t>Valor de Investimento</t>
  </si>
  <si>
    <t>CHAVE</t>
  </si>
  <si>
    <t>PERFIL</t>
  </si>
  <si>
    <t>TIPO DE FII</t>
  </si>
  <si>
    <t>%</t>
  </si>
  <si>
    <t>Conservador</t>
  </si>
  <si>
    <t>PAPEL</t>
  </si>
  <si>
    <t>TIJOLO</t>
  </si>
  <si>
    <t>Moderado-TIJOLO</t>
  </si>
  <si>
    <t>HÍBRIDOS</t>
  </si>
  <si>
    <t>FOFs</t>
  </si>
  <si>
    <t>DESENVOLVIMENTO</t>
  </si>
  <si>
    <t>HOTELARIAS</t>
  </si>
  <si>
    <t>Moderado</t>
  </si>
  <si>
    <t>Agressivo</t>
  </si>
  <si>
    <t>VALOR A SER INVESTIDO POR MÊS</t>
  </si>
  <si>
    <t>Percentual Sugerido</t>
  </si>
  <si>
    <t>Valores</t>
  </si>
  <si>
    <t>Valor Total (R$)</t>
  </si>
  <si>
    <t>Perfil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</si>
</sst>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  <numFmt numFmtId="165" formatCode="0.0%"/>
  </numFmts>
  <fonts count="17" x14ac:knownFonts="1">
    <font>
      <sz val="10"/>
      <color theme="1"/>
      <name val="Segoe UI"/>
      <family val="2"/>
    </font>
    <font>
      <sz val="10"/>
      <color theme="1"/>
      <name val="Segoe UI"/>
      <family val="2"/>
    </font>
    <font>
      <b/>
      <sz val="11"/>
      <color theme="3"/>
      <name val="Segoe UI"/>
      <family val="2"/>
    </font>
    <font>
      <sz val="10"/>
      <color rgb="FF9C5700"/>
      <name val="Segoe UI"/>
      <family val="2"/>
    </font>
    <font>
      <b/>
      <sz val="10"/>
      <color theme="0"/>
      <name val="Segoe UI"/>
      <family val="2"/>
    </font>
    <font>
      <b/>
      <sz val="10"/>
      <color theme="1"/>
      <name val="Segoe UI"/>
      <family val="2"/>
    </font>
    <font>
      <sz val="10"/>
      <color theme="0"/>
      <name val="Segoe UI"/>
      <family val="2"/>
    </font>
    <font>
      <sz val="12"/>
      <color theme="1"/>
      <name val="Segoe UI"/>
      <family val="2"/>
    </font>
    <font>
      <sz val="11"/>
      <color theme="1"/>
      <name val="Calibri"/>
      <family val="2"/>
      <scheme val="minor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b/>
      <sz val="12"/>
      <color theme="1"/>
      <name val="Segoe UI"/>
      <family val="2"/>
    </font>
    <font>
      <b/>
      <sz val="18"/>
      <color theme="0"/>
      <name val="Segoe UI"/>
      <family val="2"/>
    </font>
    <font>
      <b/>
      <sz val="20"/>
      <color theme="0"/>
      <name val="Segoe UI"/>
      <family val="2"/>
    </font>
    <font>
      <sz val="11"/>
      <color rgb="FF9C5700"/>
      <name val="Calibri"/>
      <family val="2"/>
      <scheme val="minor"/>
    </font>
    <font>
      <b/>
      <sz val="12"/>
      <color rgb="FF9C5700"/>
      <name val="Segoe UI"/>
      <family val="2"/>
    </font>
    <font>
      <b/>
      <sz val="10"/>
      <color theme="3"/>
      <name val="Segoe UI"/>
      <family val="2"/>
    </font>
  </fonts>
  <fills count="10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</fills>
  <borders count="38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theme="0" tint="-0.34998626667073579"/>
      </left>
      <right style="medium">
        <color indexed="64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medium">
        <color indexed="64"/>
      </bottom>
      <diagonal/>
    </border>
    <border>
      <left style="medium">
        <color indexed="64"/>
      </left>
      <right style="hair">
        <color theme="0" tint="-0.14996795556505021"/>
      </right>
      <top/>
      <bottom style="hair">
        <color theme="0" tint="-0.14996795556505021"/>
      </bottom>
      <diagonal/>
    </border>
    <border>
      <left style="hair">
        <color theme="0" tint="-0.14996795556505021"/>
      </left>
      <right style="hair">
        <color theme="0" tint="-0.14996795556505021"/>
      </right>
      <top/>
      <bottom style="hair">
        <color theme="0" tint="-0.14996795556505021"/>
      </bottom>
      <diagonal/>
    </border>
    <border>
      <left style="hair">
        <color theme="0" tint="-0.14996795556505021"/>
      </left>
      <right style="medium">
        <color indexed="64"/>
      </right>
      <top/>
      <bottom style="hair">
        <color theme="0" tint="-0.14996795556505021"/>
      </bottom>
      <diagonal/>
    </border>
    <border>
      <left style="medium">
        <color indexed="64"/>
      </left>
      <right style="hair">
        <color theme="0" tint="-0.14996795556505021"/>
      </right>
      <top style="hair">
        <color theme="0" tint="-0.14996795556505021"/>
      </top>
      <bottom style="hair">
        <color theme="0" tint="-0.14996795556505021"/>
      </bottom>
      <diagonal/>
    </border>
    <border>
      <left style="hair">
        <color theme="0" tint="-0.14996795556505021"/>
      </left>
      <right style="hair">
        <color theme="0" tint="-0.14996795556505021"/>
      </right>
      <top style="hair">
        <color theme="0" tint="-0.14996795556505021"/>
      </top>
      <bottom style="hair">
        <color theme="0" tint="-0.14996795556505021"/>
      </bottom>
      <diagonal/>
    </border>
    <border>
      <left style="hair">
        <color theme="0" tint="-0.14996795556505021"/>
      </left>
      <right style="medium">
        <color indexed="64"/>
      </right>
      <top style="hair">
        <color theme="0" tint="-0.14996795556505021"/>
      </top>
      <bottom style="hair">
        <color theme="0" tint="-0.14996795556505021"/>
      </bottom>
      <diagonal/>
    </border>
    <border>
      <left style="medium">
        <color indexed="64"/>
      </left>
      <right style="hair">
        <color theme="0" tint="-0.14996795556505021"/>
      </right>
      <top style="hair">
        <color theme="0" tint="-0.14996795556505021"/>
      </top>
      <bottom style="medium">
        <color indexed="64"/>
      </bottom>
      <diagonal/>
    </border>
    <border>
      <left style="hair">
        <color theme="0" tint="-0.14996795556505021"/>
      </left>
      <right style="hair">
        <color theme="0" tint="-0.14996795556505021"/>
      </right>
      <top style="hair">
        <color theme="0" tint="-0.14996795556505021"/>
      </top>
      <bottom style="medium">
        <color indexed="64"/>
      </bottom>
      <diagonal/>
    </border>
    <border>
      <left style="hair">
        <color theme="0" tint="-0.14996795556505021"/>
      </left>
      <right style="medium">
        <color indexed="64"/>
      </right>
      <top style="hair">
        <color theme="0" tint="-0.1499679555650502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theme="6"/>
      </bottom>
      <diagonal/>
    </border>
    <border>
      <left/>
      <right/>
      <top style="medium">
        <color indexed="64"/>
      </top>
      <bottom style="medium">
        <color theme="6"/>
      </bottom>
      <diagonal/>
    </border>
    <border>
      <left/>
      <right style="medium">
        <color indexed="64"/>
      </right>
      <top style="medium">
        <color indexed="64"/>
      </top>
      <bottom style="medium">
        <color theme="6"/>
      </bottom>
      <diagonal/>
    </border>
    <border>
      <left style="medium">
        <color indexed="64"/>
      </left>
      <right/>
      <top style="medium">
        <color indexed="64"/>
      </top>
      <bottom style="medium">
        <color rgb="FFFFC000"/>
      </bottom>
      <diagonal/>
    </border>
    <border>
      <left/>
      <right/>
      <top style="medium">
        <color indexed="64"/>
      </top>
      <bottom style="medium">
        <color rgb="FFFFC000"/>
      </bottom>
      <diagonal/>
    </border>
    <border>
      <left/>
      <right style="medium">
        <color indexed="64"/>
      </right>
      <top style="medium">
        <color indexed="64"/>
      </top>
      <bottom style="medium">
        <color rgb="FFFFC000"/>
      </bottom>
      <diagonal/>
    </border>
    <border>
      <left style="medium">
        <color indexed="64"/>
      </left>
      <right/>
      <top/>
      <bottom style="thin">
        <color theme="0" tint="-0.34998626667073579"/>
      </bottom>
      <diagonal/>
    </border>
    <border>
      <left style="medium">
        <color indexed="64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/>
      <top style="thin">
        <color theme="0" tint="-0.34998626667073579"/>
      </top>
      <bottom style="medium">
        <color indexed="64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theme="6" tint="-0.24994659260841701"/>
      </left>
      <right/>
      <top style="medium">
        <color theme="6" tint="-0.24994659260841701"/>
      </top>
      <bottom/>
      <diagonal/>
    </border>
    <border>
      <left/>
      <right/>
      <top style="medium">
        <color theme="6" tint="-0.24994659260841701"/>
      </top>
      <bottom/>
      <diagonal/>
    </border>
    <border>
      <left/>
      <right style="medium">
        <color theme="6" tint="-0.24994659260841701"/>
      </right>
      <top style="medium">
        <color theme="6" tint="-0.24994659260841701"/>
      </top>
      <bottom/>
      <diagonal/>
    </border>
    <border>
      <left style="medium">
        <color theme="6" tint="-0.24994659260841701"/>
      </left>
      <right/>
      <top/>
      <bottom style="medium">
        <color theme="6" tint="-0.24994659260841701"/>
      </bottom>
      <diagonal/>
    </border>
    <border>
      <left/>
      <right/>
      <top/>
      <bottom style="medium">
        <color theme="6" tint="-0.24994659260841701"/>
      </bottom>
      <diagonal/>
    </border>
    <border>
      <left/>
      <right style="medium">
        <color theme="6" tint="-0.24994659260841701"/>
      </right>
      <top/>
      <bottom style="medium">
        <color theme="6" tint="-0.24994659260841701"/>
      </bottom>
      <diagonal/>
    </border>
    <border>
      <left style="medium">
        <color theme="6" tint="-0.24994659260841701"/>
      </left>
      <right/>
      <top/>
      <bottom/>
      <diagonal/>
    </border>
    <border>
      <left/>
      <right style="medium">
        <color theme="6" tint="-0.24994659260841701"/>
      </right>
      <top/>
      <bottom/>
      <diagonal/>
    </border>
    <border>
      <left style="medium">
        <color theme="6" tint="-0.24994659260841701"/>
      </left>
      <right/>
      <top style="medium">
        <color theme="6" tint="-0.24994659260841701"/>
      </top>
      <bottom style="medium">
        <color theme="2" tint="-0.24994659260841701"/>
      </bottom>
      <diagonal/>
    </border>
    <border>
      <left/>
      <right/>
      <top style="medium">
        <color theme="6" tint="-0.24994659260841701"/>
      </top>
      <bottom style="medium">
        <color theme="2" tint="-0.24994659260841701"/>
      </bottom>
      <diagonal/>
    </border>
    <border>
      <left/>
      <right style="medium">
        <color theme="6" tint="-0.24994659260841701"/>
      </right>
      <top style="medium">
        <color theme="6" tint="-0.24994659260841701"/>
      </top>
      <bottom style="medium">
        <color theme="2" tint="-0.24994659260841701"/>
      </bottom>
      <diagonal/>
    </border>
  </borders>
  <cellStyleXfs count="6">
    <xf numFmtId="0" fontId="0" fillId="0" borderId="0"/>
    <xf numFmtId="44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8" fillId="0" borderId="0"/>
    <xf numFmtId="0" fontId="14" fillId="2" borderId="0" applyNumberFormat="0" applyBorder="0" applyAlignment="0" applyProtection="0"/>
    <xf numFmtId="9" fontId="8" fillId="0" borderId="0" applyFont="0" applyFill="0" applyBorder="0" applyAlignment="0" applyProtection="0"/>
  </cellStyleXfs>
  <cellXfs count="71">
    <xf numFmtId="0" fontId="0" fillId="0" borderId="0" xfId="0"/>
    <xf numFmtId="0" fontId="0" fillId="0" borderId="0" xfId="0" applyAlignment="1">
      <alignment vertical="center"/>
    </xf>
    <xf numFmtId="8" fontId="10" fillId="6" borderId="3" xfId="0" applyNumberFormat="1" applyFont="1" applyFill="1" applyBorder="1" applyAlignment="1">
      <alignment horizontal="center" vertical="center"/>
    </xf>
    <xf numFmtId="8" fontId="10" fillId="6" borderId="4" xfId="0" applyNumberFormat="1" applyFont="1" applyFill="1" applyBorder="1" applyAlignment="1">
      <alignment horizontal="center" vertical="center"/>
    </xf>
    <xf numFmtId="0" fontId="7" fillId="6" borderId="5" xfId="0" applyFont="1" applyFill="1" applyBorder="1" applyAlignment="1">
      <alignment horizontal="left" vertical="center" indent="1"/>
    </xf>
    <xf numFmtId="0" fontId="7" fillId="6" borderId="8" xfId="0" applyFont="1" applyFill="1" applyBorder="1" applyAlignment="1">
      <alignment horizontal="left" vertical="center" indent="1"/>
    </xf>
    <xf numFmtId="0" fontId="7" fillId="6" borderId="11" xfId="0" applyFont="1" applyFill="1" applyBorder="1" applyAlignment="1">
      <alignment horizontal="left" vertical="center" indent="1"/>
    </xf>
    <xf numFmtId="164" fontId="9" fillId="6" borderId="6" xfId="0" applyNumberFormat="1" applyFont="1" applyFill="1" applyBorder="1" applyAlignment="1">
      <alignment horizontal="right" vertical="center" indent="1"/>
    </xf>
    <xf numFmtId="164" fontId="9" fillId="6" borderId="7" xfId="0" applyNumberFormat="1" applyFont="1" applyFill="1" applyBorder="1" applyAlignment="1">
      <alignment horizontal="right" vertical="center" indent="1"/>
    </xf>
    <xf numFmtId="164" fontId="9" fillId="6" borderId="9" xfId="0" applyNumberFormat="1" applyFont="1" applyFill="1" applyBorder="1" applyAlignment="1">
      <alignment horizontal="right" vertical="center" indent="1"/>
    </xf>
    <xf numFmtId="164" fontId="9" fillId="6" borderId="10" xfId="0" applyNumberFormat="1" applyFont="1" applyFill="1" applyBorder="1" applyAlignment="1">
      <alignment horizontal="right" vertical="center" indent="1"/>
    </xf>
    <xf numFmtId="164" fontId="9" fillId="6" borderId="12" xfId="0" applyNumberFormat="1" applyFont="1" applyFill="1" applyBorder="1" applyAlignment="1">
      <alignment horizontal="right" vertical="center" indent="1"/>
    </xf>
    <xf numFmtId="164" fontId="9" fillId="6" borderId="13" xfId="0" applyNumberFormat="1" applyFont="1" applyFill="1" applyBorder="1" applyAlignment="1">
      <alignment horizontal="right" vertical="center" indent="1"/>
    </xf>
    <xf numFmtId="0" fontId="7" fillId="4" borderId="20" xfId="0" applyFont="1" applyFill="1" applyBorder="1" applyAlignment="1">
      <alignment vertical="center"/>
    </xf>
    <xf numFmtId="0" fontId="7" fillId="4" borderId="21" xfId="0" applyFont="1" applyFill="1" applyBorder="1" applyAlignment="1">
      <alignment vertical="center"/>
    </xf>
    <xf numFmtId="0" fontId="7" fillId="4" borderId="22" xfId="0" applyFont="1" applyFill="1" applyBorder="1" applyAlignment="1">
      <alignment vertical="center"/>
    </xf>
    <xf numFmtId="0" fontId="11" fillId="6" borderId="21" xfId="0" applyFont="1" applyFill="1" applyBorder="1" applyAlignment="1">
      <alignment vertical="center"/>
    </xf>
    <xf numFmtId="0" fontId="11" fillId="6" borderId="22" xfId="0" applyFont="1" applyFill="1" applyBorder="1" applyAlignment="1">
      <alignment vertical="center"/>
    </xf>
    <xf numFmtId="0" fontId="7" fillId="4" borderId="23" xfId="0" applyFont="1" applyFill="1" applyBorder="1" applyAlignment="1">
      <alignment vertical="center"/>
    </xf>
    <xf numFmtId="0" fontId="7" fillId="4" borderId="24" xfId="0" applyFont="1" applyFill="1" applyBorder="1" applyAlignment="1">
      <alignment vertical="center"/>
    </xf>
    <xf numFmtId="0" fontId="7" fillId="4" borderId="25" xfId="0" applyFont="1" applyFill="1" applyBorder="1" applyAlignment="1">
      <alignment vertical="center"/>
    </xf>
    <xf numFmtId="0" fontId="11" fillId="6" borderId="24" xfId="0" applyFont="1" applyFill="1" applyBorder="1" applyAlignment="1">
      <alignment vertical="center"/>
    </xf>
    <xf numFmtId="0" fontId="11" fillId="6" borderId="25" xfId="0" applyFont="1" applyFill="1" applyBorder="1" applyAlignment="1">
      <alignment vertical="center"/>
    </xf>
    <xf numFmtId="164" fontId="9" fillId="4" borderId="4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164" fontId="9" fillId="0" borderId="2" xfId="1" applyNumberFormat="1" applyFont="1" applyBorder="1" applyAlignment="1" applyProtection="1">
      <alignment horizontal="center" vertical="center"/>
      <protection locked="0"/>
    </xf>
    <xf numFmtId="10" fontId="9" fillId="0" borderId="3" xfId="0" applyNumberFormat="1" applyFont="1" applyBorder="1" applyAlignment="1" applyProtection="1">
      <alignment horizontal="center" vertical="center"/>
      <protection locked="0"/>
    </xf>
    <xf numFmtId="165" fontId="9" fillId="0" borderId="3" xfId="0" applyNumberFormat="1" applyFont="1" applyBorder="1" applyAlignment="1" applyProtection="1">
      <alignment horizontal="center" vertical="center"/>
      <protection locked="0"/>
    </xf>
    <xf numFmtId="164" fontId="10" fillId="0" borderId="2" xfId="0" applyNumberFormat="1" applyFont="1" applyBorder="1" applyAlignment="1" applyProtection="1">
      <alignment horizontal="center" vertical="center"/>
      <protection locked="0"/>
    </xf>
    <xf numFmtId="0" fontId="10" fillId="0" borderId="3" xfId="0" applyFont="1" applyBorder="1" applyAlignment="1" applyProtection="1">
      <alignment horizontal="center" vertical="center"/>
      <protection locked="0"/>
    </xf>
    <xf numFmtId="10" fontId="10" fillId="0" borderId="3" xfId="0" applyNumberFormat="1" applyFont="1" applyBorder="1" applyAlignment="1" applyProtection="1">
      <alignment horizontal="center" vertical="center"/>
      <protection locked="0"/>
    </xf>
    <xf numFmtId="0" fontId="12" fillId="3" borderId="17" xfId="0" applyFont="1" applyFill="1" applyBorder="1" applyAlignment="1">
      <alignment horizontal="centerContinuous" vertical="center"/>
    </xf>
    <xf numFmtId="0" fontId="9" fillId="3" borderId="18" xfId="0" applyFont="1" applyFill="1" applyBorder="1" applyAlignment="1">
      <alignment horizontal="centerContinuous" vertical="center"/>
    </xf>
    <xf numFmtId="0" fontId="12" fillId="3" borderId="19" xfId="0" applyFont="1" applyFill="1" applyBorder="1" applyAlignment="1">
      <alignment horizontal="centerContinuous" vertical="center"/>
    </xf>
    <xf numFmtId="0" fontId="0" fillId="0" borderId="0" xfId="0" applyFont="1" applyAlignment="1">
      <alignment vertical="center"/>
    </xf>
    <xf numFmtId="0" fontId="13" fillId="5" borderId="15" xfId="0" applyFont="1" applyFill="1" applyBorder="1" applyAlignment="1">
      <alignment horizontal="centerContinuous" vertical="center"/>
    </xf>
    <xf numFmtId="0" fontId="13" fillId="5" borderId="16" xfId="0" applyFont="1" applyFill="1" applyBorder="1" applyAlignment="1">
      <alignment horizontal="centerContinuous" vertical="center"/>
    </xf>
    <xf numFmtId="0" fontId="12" fillId="5" borderId="16" xfId="0" applyFont="1" applyFill="1" applyBorder="1" applyAlignment="1">
      <alignment horizontal="centerContinuous" vertical="center"/>
    </xf>
    <xf numFmtId="0" fontId="12" fillId="5" borderId="14" xfId="0" applyFont="1" applyFill="1" applyBorder="1" applyAlignment="1">
      <alignment horizontal="centerContinuous" vertical="center"/>
    </xf>
    <xf numFmtId="0" fontId="15" fillId="2" borderId="27" xfId="4" applyFont="1" applyBorder="1" applyAlignment="1">
      <alignment horizontal="centerContinuous" vertical="center"/>
    </xf>
    <xf numFmtId="0" fontId="15" fillId="2" borderId="28" xfId="4" applyFont="1" applyBorder="1" applyAlignment="1">
      <alignment horizontal="centerContinuous" vertical="center"/>
    </xf>
    <xf numFmtId="0" fontId="15" fillId="2" borderId="29" xfId="4" applyFont="1" applyBorder="1" applyAlignment="1">
      <alignment horizontal="center" vertical="center"/>
    </xf>
    <xf numFmtId="0" fontId="5" fillId="4" borderId="30" xfId="0" applyFont="1" applyFill="1" applyBorder="1" applyAlignment="1">
      <alignment horizontal="centerContinuous" vertical="center"/>
    </xf>
    <xf numFmtId="0" fontId="5" fillId="4" borderId="31" xfId="0" applyFont="1" applyFill="1" applyBorder="1" applyAlignment="1">
      <alignment horizontal="centerContinuous" vertical="center"/>
    </xf>
    <xf numFmtId="164" fontId="5" fillId="4" borderId="32" xfId="1" applyNumberFormat="1" applyFont="1" applyFill="1" applyBorder="1" applyAlignment="1">
      <alignment horizontal="center" vertical="center"/>
    </xf>
    <xf numFmtId="0" fontId="0" fillId="0" borderId="33" xfId="0" applyFont="1" applyBorder="1" applyAlignment="1">
      <alignment horizontal="left" vertical="center" indent="2"/>
    </xf>
    <xf numFmtId="9" fontId="0" fillId="0" borderId="0" xfId="0" applyNumberFormat="1" applyFont="1" applyBorder="1" applyAlignment="1">
      <alignment horizontal="center"/>
    </xf>
    <xf numFmtId="164" fontId="0" fillId="4" borderId="34" xfId="0" applyNumberFormat="1" applyFont="1" applyFill="1" applyBorder="1" applyAlignment="1">
      <alignment horizontal="center"/>
    </xf>
    <xf numFmtId="0" fontId="5" fillId="9" borderId="30" xfId="0" applyFont="1" applyFill="1" applyBorder="1" applyAlignment="1">
      <alignment horizontal="centerContinuous" vertical="center"/>
    </xf>
    <xf numFmtId="0" fontId="5" fillId="9" borderId="31" xfId="0" applyFont="1" applyFill="1" applyBorder="1" applyAlignment="1">
      <alignment horizontal="centerContinuous" vertical="center"/>
    </xf>
    <xf numFmtId="164" fontId="5" fillId="9" borderId="32" xfId="0" applyNumberFormat="1" applyFont="1" applyFill="1" applyBorder="1" applyAlignment="1">
      <alignment horizontal="center"/>
    </xf>
    <xf numFmtId="0" fontId="5" fillId="9" borderId="35" xfId="0" applyFont="1" applyFill="1" applyBorder="1" applyAlignment="1">
      <alignment horizontal="center"/>
    </xf>
    <xf numFmtId="0" fontId="5" fillId="9" borderId="36" xfId="0" applyFont="1" applyFill="1" applyBorder="1" applyAlignment="1">
      <alignment horizontal="center"/>
    </xf>
    <xf numFmtId="0" fontId="5" fillId="9" borderId="37" xfId="0" applyFont="1" applyFill="1" applyBorder="1" applyAlignment="1">
      <alignment horizontal="center"/>
    </xf>
    <xf numFmtId="0" fontId="16" fillId="0" borderId="1" xfId="2" applyFont="1" applyAlignment="1">
      <alignment horizontal="center" vertical="center"/>
    </xf>
    <xf numFmtId="0" fontId="1" fillId="0" borderId="0" xfId="3" applyFont="1"/>
    <xf numFmtId="0" fontId="1" fillId="0" borderId="0" xfId="3" applyFont="1" applyAlignment="1">
      <alignment horizontal="left" vertical="center" indent="1"/>
    </xf>
    <xf numFmtId="0" fontId="4" fillId="7" borderId="0" xfId="3" applyFont="1" applyFill="1" applyAlignment="1">
      <alignment horizontal="center" vertical="center"/>
    </xf>
    <xf numFmtId="0" fontId="1" fillId="0" borderId="0" xfId="3" applyFont="1" applyAlignment="1">
      <alignment horizontal="center" vertical="center"/>
    </xf>
    <xf numFmtId="9" fontId="1" fillId="0" borderId="0" xfId="3" applyNumberFormat="1" applyFont="1" applyAlignment="1">
      <alignment horizontal="center" vertical="center"/>
    </xf>
    <xf numFmtId="0" fontId="3" fillId="2" borderId="0" xfId="4" applyFont="1" applyAlignment="1">
      <alignment vertical="center"/>
    </xf>
    <xf numFmtId="9" fontId="3" fillId="2" borderId="0" xfId="5" applyFont="1" applyFill="1" applyAlignment="1">
      <alignment horizontal="center" vertical="center"/>
    </xf>
    <xf numFmtId="0" fontId="1" fillId="0" borderId="26" xfId="3" applyFont="1" applyBorder="1" applyAlignment="1">
      <alignment horizontal="left" vertical="center" indent="1"/>
    </xf>
    <xf numFmtId="0" fontId="1" fillId="0" borderId="26" xfId="3" applyFont="1" applyBorder="1" applyAlignment="1">
      <alignment horizontal="center" vertical="center"/>
    </xf>
    <xf numFmtId="9" fontId="1" fillId="0" borderId="26" xfId="3" applyNumberFormat="1" applyFont="1" applyBorder="1" applyAlignment="1">
      <alignment horizontal="center" vertical="center"/>
    </xf>
    <xf numFmtId="0" fontId="1" fillId="8" borderId="0" xfId="3" applyFont="1" applyFill="1" applyAlignment="1">
      <alignment horizontal="left" vertical="center" indent="1"/>
    </xf>
    <xf numFmtId="0" fontId="1" fillId="8" borderId="0" xfId="3" applyFont="1" applyFill="1" applyAlignment="1">
      <alignment horizontal="center" vertical="center"/>
    </xf>
    <xf numFmtId="9" fontId="1" fillId="8" borderId="0" xfId="3" applyNumberFormat="1" applyFont="1" applyFill="1" applyAlignment="1">
      <alignment horizontal="center" vertical="center"/>
    </xf>
    <xf numFmtId="0" fontId="1" fillId="0" borderId="0" xfId="3" applyFont="1" applyAlignment="1">
      <alignment horizontal="center"/>
    </xf>
    <xf numFmtId="0" fontId="1" fillId="0" borderId="0" xfId="3" applyFont="1" applyBorder="1" applyAlignment="1">
      <alignment horizontal="left" vertical="center" indent="1"/>
    </xf>
    <xf numFmtId="0" fontId="16" fillId="0" borderId="0" xfId="2" applyFont="1" applyBorder="1" applyAlignment="1">
      <alignment horizontal="center" vertical="center"/>
    </xf>
  </cellXfs>
  <cellStyles count="6">
    <cellStyle name="Moeda" xfId="1" builtinId="4"/>
    <cellStyle name="Neutro 2" xfId="4" xr:uid="{C4DD0BFB-2A34-4B67-97D5-5D2C6BD25830}"/>
    <cellStyle name="Normal" xfId="0" builtinId="0"/>
    <cellStyle name="Normal 2" xfId="3" xr:uid="{D93C9EB5-DCA0-49DF-A57A-C4F1444B6DC6}"/>
    <cellStyle name="Porcentagem 2" xfId="5" xr:uid="{CB9BFE78-B321-4056-B5E0-3A7796FF93F7}"/>
    <cellStyle name="Título 3" xfId="2" builtinId="18"/>
  </cellStyles>
  <dxfs count="0"/>
  <tableStyles count="0" defaultTableStyle="TableStyleMedium2" defaultPivotStyle="PivotStyleLight16"/>
  <colors>
    <mruColors>
      <color rgb="FFFFC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7328473363906434"/>
          <c:y val="3.5087719298245612E-2"/>
          <c:w val="0.39377289377289376"/>
          <c:h val="0.94298245614035092"/>
        </c:manualLayout>
      </c:layout>
      <c:pieChart>
        <c:varyColors val="1"/>
        <c:ser>
          <c:idx val="0"/>
          <c:order val="0"/>
          <c:explosion val="2"/>
          <c:dPt>
            <c:idx val="0"/>
            <c:bubble3D val="0"/>
            <c:spPr>
              <a:solidFill>
                <a:schemeClr val="accent6">
                  <a:tint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6">
                  <a:tint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6">
                  <a:tint val="9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6">
                  <a:shade val="9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6">
                  <a:shade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>
                  <a:shade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Investimentos!$B$29:$B$34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Investimentos!$C$29:$C$34</c:f>
              <c:numCache>
                <c:formatCode>0%</c:formatCode>
                <c:ptCount val="6"/>
                <c:pt idx="0">
                  <c:v>0.32</c:v>
                </c:pt>
                <c:pt idx="1">
                  <c:v>0.35</c:v>
                </c:pt>
                <c:pt idx="2">
                  <c:v>0.08</c:v>
                </c:pt>
                <c:pt idx="3">
                  <c:v>0.05</c:v>
                </c:pt>
                <c:pt idx="4">
                  <c:v>0.1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69-4D3B-9902-613F2C4FA941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6">
                  <a:tint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Investimentos!$B$29:$B$34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Investimentos!$C$28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A69-4D3B-9902-613F2C4FA9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4</xdr:col>
      <xdr:colOff>0</xdr:colOff>
      <xdr:row>2</xdr:row>
      <xdr:rowOff>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F2F4E0C-5721-4260-AB9C-53DACC76F8C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9606"/>
        <a:stretch/>
      </xdr:blipFill>
      <xdr:spPr>
        <a:xfrm>
          <a:off x="114300" y="123825"/>
          <a:ext cx="6934200" cy="11049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36</xdr:row>
      <xdr:rowOff>0</xdr:rowOff>
    </xdr:from>
    <xdr:to>
      <xdr:col>4</xdr:col>
      <xdr:colOff>0</xdr:colOff>
      <xdr:row>52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BB31F82-6129-A4A6-CF6B-0FE930E4D0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arlo\Downloads\Planilha_Resolvida.xlsx" TargetMode="External"/><Relationship Id="rId1" Type="http://schemas.openxmlformats.org/officeDocument/2006/relationships/externalLinkPath" Target="Planilha_Resolvid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P"/>
      <sheetName val="Planilha2"/>
    </sheetNames>
    <sheetDataSet>
      <sheetData sheetId="0">
        <row r="13">
          <cell r="D13">
            <v>6.0000000000000001E-3</v>
          </cell>
        </row>
        <row r="17">
          <cell r="D17">
            <v>200</v>
          </cell>
        </row>
        <row r="18">
          <cell r="D18">
            <v>5</v>
          </cell>
        </row>
        <row r="19">
          <cell r="D19">
            <v>1.0789999999999999E-2</v>
          </cell>
        </row>
        <row r="20">
          <cell r="D20">
            <v>16755.382799697527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4BF9B-EFD3-468A-99AE-06311F4CCABD}">
  <dimension ref="A1:D35"/>
  <sheetViews>
    <sheetView tabSelected="1" workbookViewId="0"/>
  </sheetViews>
  <sheetFormatPr defaultRowHeight="14.25" x14ac:dyDescent="0.25"/>
  <cols>
    <col min="1" max="1" width="1.7109375" style="1" customWidth="1"/>
    <col min="2" max="2" width="49.7109375" style="1" customWidth="1"/>
    <col min="3" max="4" width="27.140625" style="1" customWidth="1"/>
    <col min="5" max="16384" width="9.140625" style="1"/>
  </cols>
  <sheetData>
    <row r="1" spans="2:4" ht="9.9499999999999993" customHeight="1" x14ac:dyDescent="0.25"/>
    <row r="2" spans="2:4" ht="87" customHeight="1" x14ac:dyDescent="0.25"/>
    <row r="3" spans="2:4" ht="9.9499999999999993" customHeight="1" thickBot="1" x14ac:dyDescent="0.3"/>
    <row r="4" spans="2:4" ht="28.5" customHeight="1" thickBot="1" x14ac:dyDescent="0.3">
      <c r="B4" s="31" t="s">
        <v>0</v>
      </c>
      <c r="C4" s="32"/>
      <c r="D4" s="33"/>
    </row>
    <row r="5" spans="2:4" ht="17.25" x14ac:dyDescent="0.25">
      <c r="B5" s="13" t="s">
        <v>1</v>
      </c>
      <c r="C5" s="18"/>
      <c r="D5" s="25">
        <v>2500</v>
      </c>
    </row>
    <row r="6" spans="2:4" ht="17.25" x14ac:dyDescent="0.25">
      <c r="B6" s="14" t="s">
        <v>2</v>
      </c>
      <c r="C6" s="19"/>
      <c r="D6" s="26">
        <v>6.0000000000000001E-3</v>
      </c>
    </row>
    <row r="7" spans="2:4" ht="17.25" x14ac:dyDescent="0.25">
      <c r="B7" s="14" t="s">
        <v>16</v>
      </c>
      <c r="C7" s="19"/>
      <c r="D7" s="27">
        <v>0.15</v>
      </c>
    </row>
    <row r="8" spans="2:4" ht="18" thickBot="1" x14ac:dyDescent="0.3">
      <c r="B8" s="15" t="s">
        <v>17</v>
      </c>
      <c r="C8" s="20"/>
      <c r="D8" s="23">
        <f>D5 * D7</f>
        <v>375</v>
      </c>
    </row>
    <row r="9" spans="2:4" ht="15" thickBot="1" x14ac:dyDescent="0.3">
      <c r="B9" s="34"/>
      <c r="C9" s="34"/>
      <c r="D9" s="34"/>
    </row>
    <row r="10" spans="2:4" ht="31.5" thickBot="1" x14ac:dyDescent="0.3">
      <c r="B10" s="38" t="s">
        <v>3</v>
      </c>
      <c r="C10" s="35"/>
      <c r="D10" s="36"/>
    </row>
    <row r="11" spans="2:4" ht="17.25" x14ac:dyDescent="0.25">
      <c r="B11" s="13" t="s">
        <v>6</v>
      </c>
      <c r="C11" s="18"/>
      <c r="D11" s="28">
        <f>D8</f>
        <v>375</v>
      </c>
    </row>
    <row r="12" spans="2:4" ht="17.25" x14ac:dyDescent="0.25">
      <c r="B12" s="14" t="s">
        <v>7</v>
      </c>
      <c r="C12" s="19"/>
      <c r="D12" s="29">
        <v>10</v>
      </c>
    </row>
    <row r="13" spans="2:4" ht="17.25" x14ac:dyDescent="0.25">
      <c r="B13" s="14" t="s">
        <v>8</v>
      </c>
      <c r="C13" s="19"/>
      <c r="D13" s="30">
        <v>1.0789999999999999E-2</v>
      </c>
    </row>
    <row r="14" spans="2:4" ht="17.25" x14ac:dyDescent="0.25">
      <c r="B14" s="16" t="s">
        <v>9</v>
      </c>
      <c r="C14" s="21"/>
      <c r="D14" s="2">
        <f>FV(Taxa_Mensal, Qtde_Anos * 12, Aporte * -1)</f>
        <v>91231.579698814574</v>
      </c>
    </row>
    <row r="15" spans="2:4" ht="18" thickBot="1" x14ac:dyDescent="0.3">
      <c r="B15" s="17" t="s">
        <v>10</v>
      </c>
      <c r="C15" s="22"/>
      <c r="D15" s="3">
        <f>Patrimonio * Rendimento_Carteira</f>
        <v>547.38947819288751</v>
      </c>
    </row>
    <row r="16" spans="2:4" ht="28.5" customHeight="1" thickBot="1" x14ac:dyDescent="0.3">
      <c r="B16" s="34"/>
      <c r="C16" s="34"/>
      <c r="D16" s="34"/>
    </row>
    <row r="17" spans="1:4" ht="31.5" thickBot="1" x14ac:dyDescent="0.3">
      <c r="A17" s="24">
        <v>2</v>
      </c>
      <c r="B17" s="38" t="s">
        <v>4</v>
      </c>
      <c r="C17" s="35"/>
      <c r="D17" s="37" t="s">
        <v>5</v>
      </c>
    </row>
    <row r="18" spans="1:4" ht="17.25" x14ac:dyDescent="0.25">
      <c r="A18" s="24">
        <v>5</v>
      </c>
      <c r="B18" s="4" t="s">
        <v>11</v>
      </c>
      <c r="C18" s="7">
        <f>FV(Taxa_Mensal, $A17 * 12, Aporte * -1)</f>
        <v>10210.360236616956</v>
      </c>
      <c r="D18" s="8">
        <f>$C18 * Rendimento_Carteira</f>
        <v>61.262161419701741</v>
      </c>
    </row>
    <row r="19" spans="1:4" ht="17.25" x14ac:dyDescent="0.25">
      <c r="A19" s="24">
        <v>10</v>
      </c>
      <c r="B19" s="5" t="s">
        <v>12</v>
      </c>
      <c r="C19" s="9">
        <f>FV(Taxa_Mensal, $A18 * 12, Aporte * -1)</f>
        <v>31416.342749432868</v>
      </c>
      <c r="D19" s="10">
        <f>$C19 * Rendimento_Carteira</f>
        <v>188.4980564965972</v>
      </c>
    </row>
    <row r="20" spans="1:4" ht="17.25" x14ac:dyDescent="0.25">
      <c r="A20" s="24">
        <v>20</v>
      </c>
      <c r="B20" s="5" t="s">
        <v>13</v>
      </c>
      <c r="C20" s="9">
        <f>FV(Taxa_Mensal, $A19 * 12, Aporte * -1)</f>
        <v>91231.579698814574</v>
      </c>
      <c r="D20" s="10">
        <f>$C20 * Rendimento_Carteira</f>
        <v>547.38947819288751</v>
      </c>
    </row>
    <row r="21" spans="1:4" ht="17.25" x14ac:dyDescent="0.25">
      <c r="A21" s="24">
        <v>30</v>
      </c>
      <c r="B21" s="5" t="s">
        <v>14</v>
      </c>
      <c r="C21" s="9">
        <f>FV(Taxa_Mensal, $A20 * 12, Aporte * -1)</f>
        <v>421949.40003640525</v>
      </c>
      <c r="D21" s="10">
        <f>$C21 * Rendimento_Carteira</f>
        <v>2531.6964002184313</v>
      </c>
    </row>
    <row r="22" spans="1:4" ht="18" thickBot="1" x14ac:dyDescent="0.3">
      <c r="B22" s="6" t="s">
        <v>15</v>
      </c>
      <c r="C22" s="11">
        <f>FV(Taxa_Mensal, $A21 * 12, Aporte * -1)</f>
        <v>1620813.6206267679</v>
      </c>
      <c r="D22" s="12">
        <f>$C22 * Rendimento_Carteira</f>
        <v>9724.8817237606072</v>
      </c>
    </row>
    <row r="24" spans="1:4" ht="15" thickBot="1" x14ac:dyDescent="0.3"/>
    <row r="25" spans="1:4" ht="17.25" x14ac:dyDescent="0.25">
      <c r="B25" s="39" t="s">
        <v>19</v>
      </c>
      <c r="C25" s="40"/>
      <c r="D25" s="41" t="s">
        <v>30</v>
      </c>
    </row>
    <row r="26" spans="1:4" ht="15" thickBot="1" x14ac:dyDescent="0.3">
      <c r="B26" s="42" t="s">
        <v>32</v>
      </c>
      <c r="C26" s="43"/>
      <c r="D26" s="44">
        <f>Aporte</f>
        <v>375</v>
      </c>
    </row>
    <row r="27" spans="1:4" ht="15" thickBot="1" x14ac:dyDescent="0.3">
      <c r="B27"/>
      <c r="C27"/>
      <c r="D27"/>
    </row>
    <row r="28" spans="1:4" ht="15" thickBot="1" x14ac:dyDescent="0.3">
      <c r="B28" s="51" t="s">
        <v>20</v>
      </c>
      <c r="C28" s="52" t="s">
        <v>33</v>
      </c>
      <c r="D28" s="53" t="s">
        <v>34</v>
      </c>
    </row>
    <row r="29" spans="1:4" x14ac:dyDescent="0.25">
      <c r="B29" s="45" t="s">
        <v>23</v>
      </c>
      <c r="C29" s="46">
        <f>VLOOKUP($D$25 &amp; "-" &amp; $B29, Perfil_Investimento!$B$2:$E$20, 4, FALSE)</f>
        <v>0.32</v>
      </c>
      <c r="D29" s="47">
        <f>C29*$D$26</f>
        <v>120</v>
      </c>
    </row>
    <row r="30" spans="1:4" x14ac:dyDescent="0.25">
      <c r="B30" s="45" t="s">
        <v>24</v>
      </c>
      <c r="C30" s="46">
        <f>VLOOKUP($D$25 &amp; "-" &amp; $B30, Perfil_Investimento!$B$2:$E$20, 4, FALSE)</f>
        <v>0.35</v>
      </c>
      <c r="D30" s="47">
        <f t="shared" ref="D30:D34" si="0">C30*$D$26</f>
        <v>131.25</v>
      </c>
    </row>
    <row r="31" spans="1:4" x14ac:dyDescent="0.25">
      <c r="B31" s="45" t="s">
        <v>26</v>
      </c>
      <c r="C31" s="46">
        <f>VLOOKUP($D$25 &amp; "-" &amp; $B31, Perfil_Investimento!$B$2:$E$20, 4, FALSE)</f>
        <v>0.08</v>
      </c>
      <c r="D31" s="47">
        <f t="shared" si="0"/>
        <v>30</v>
      </c>
    </row>
    <row r="32" spans="1:4" x14ac:dyDescent="0.25">
      <c r="B32" s="45" t="s">
        <v>27</v>
      </c>
      <c r="C32" s="46">
        <f>VLOOKUP($D$25 &amp; "-" &amp; $B32, Perfil_Investimento!$B$2:$E$20, 4, FALSE)</f>
        <v>0.05</v>
      </c>
      <c r="D32" s="47">
        <f t="shared" si="0"/>
        <v>18.75</v>
      </c>
    </row>
    <row r="33" spans="2:4" x14ac:dyDescent="0.25">
      <c r="B33" s="45" t="s">
        <v>28</v>
      </c>
      <c r="C33" s="46">
        <f>VLOOKUP($D$25 &amp; "-" &amp; $B33, Perfil_Investimento!$B$2:$E$20, 4, FALSE)</f>
        <v>0.1</v>
      </c>
      <c r="D33" s="47">
        <f t="shared" si="0"/>
        <v>37.5</v>
      </c>
    </row>
    <row r="34" spans="2:4" x14ac:dyDescent="0.25">
      <c r="B34" s="45" t="s">
        <v>29</v>
      </c>
      <c r="C34" s="46">
        <f>VLOOKUP($D$25 &amp; "-" &amp; $B34, Perfil_Investimento!$B$2:$E$20, 4, FALSE)</f>
        <v>0.1</v>
      </c>
      <c r="D34" s="47">
        <f t="shared" si="0"/>
        <v>37.5</v>
      </c>
    </row>
    <row r="35" spans="2:4" ht="15" thickBot="1" x14ac:dyDescent="0.3">
      <c r="B35" s="48" t="s">
        <v>35</v>
      </c>
      <c r="C35" s="49"/>
      <c r="D35" s="50">
        <f>SUM(D29:D34)</f>
        <v>375</v>
      </c>
    </row>
  </sheetData>
  <sheetProtection selectLockedCells="1"/>
  <dataValidations count="1">
    <dataValidation type="list" allowBlank="1" showInputMessage="1" showErrorMessage="1" sqref="D25" xr:uid="{4A856CFA-BF14-4E4C-840E-486444F7A7A3}">
      <formula1>Perfil</formula1>
    </dataValidation>
  </dataValidations>
  <pageMargins left="0.511811024" right="0.511811024" top="0.78740157499999996" bottom="0.78740157499999996" header="0.31496062000000002" footer="0.31496062000000002"/>
  <ignoredErrors>
    <ignoredError sqref="D11:D13" unlockedFormula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BE1AA-5DA6-458F-9E47-C9A356272883}">
  <dimension ref="B1:J21"/>
  <sheetViews>
    <sheetView showGridLines="0" zoomScale="115" zoomScaleNormal="115" workbookViewId="0"/>
  </sheetViews>
  <sheetFormatPr defaultRowHeight="14.25" x14ac:dyDescent="0.25"/>
  <cols>
    <col min="1" max="1" width="1.7109375" style="55" customWidth="1"/>
    <col min="2" max="2" width="33" style="55" bestFit="1" customWidth="1"/>
    <col min="3" max="3" width="15.42578125" style="55" customWidth="1"/>
    <col min="4" max="4" width="20.7109375" style="55" bestFit="1" customWidth="1"/>
    <col min="5" max="5" width="9.140625" style="55"/>
    <col min="6" max="6" width="2.7109375" style="55" customWidth="1"/>
    <col min="7" max="7" width="14" style="56" bestFit="1" customWidth="1"/>
    <col min="8" max="8" width="2.7109375" style="69" customWidth="1"/>
    <col min="9" max="9" width="17" style="55" bestFit="1" customWidth="1"/>
    <col min="10" max="16384" width="9.140625" style="55"/>
  </cols>
  <sheetData>
    <row r="1" spans="2:10" ht="9.9499999999999993" customHeight="1" x14ac:dyDescent="0.25"/>
    <row r="2" spans="2:10" ht="15" thickBot="1" x14ac:dyDescent="0.3">
      <c r="B2" s="57" t="s">
        <v>18</v>
      </c>
      <c r="C2" s="57" t="s">
        <v>19</v>
      </c>
      <c r="D2" s="57" t="s">
        <v>20</v>
      </c>
      <c r="E2" s="57" t="s">
        <v>21</v>
      </c>
      <c r="G2" s="54" t="s">
        <v>36</v>
      </c>
      <c r="H2" s="70"/>
    </row>
    <row r="3" spans="2:10" x14ac:dyDescent="0.25">
      <c r="B3" s="56" t="str">
        <f>C3&amp;"-"&amp;D3</f>
        <v>Conservador-PAPEL</v>
      </c>
      <c r="C3" s="58" t="s">
        <v>22</v>
      </c>
      <c r="D3" s="56" t="s">
        <v>23</v>
      </c>
      <c r="E3" s="59">
        <v>0.3</v>
      </c>
      <c r="G3" s="56" t="str" cm="1">
        <f t="array" ref="G3:G5">_xlfn.UNIQUE(_xlfn._xlws.FILTER($C$3:$C$100, $C$3:$C$100 &lt;&gt;""))</f>
        <v>Conservador</v>
      </c>
      <c r="J3" s="58" t="s">
        <v>21</v>
      </c>
    </row>
    <row r="4" spans="2:10" x14ac:dyDescent="0.25">
      <c r="B4" s="56" t="str">
        <f t="shared" ref="B4:B20" si="0">C4&amp;"-"&amp;D4</f>
        <v>Conservador-TIJOLO</v>
      </c>
      <c r="C4" s="58" t="s">
        <v>22</v>
      </c>
      <c r="D4" s="56" t="s">
        <v>24</v>
      </c>
      <c r="E4" s="59">
        <v>0.5</v>
      </c>
      <c r="G4" s="56" t="str">
        <v>Moderado</v>
      </c>
      <c r="I4" s="60" t="s">
        <v>25</v>
      </c>
      <c r="J4" s="61">
        <f>VLOOKUP(I4, $B:$E, 4, FALSE)</f>
        <v>0.35</v>
      </c>
    </row>
    <row r="5" spans="2:10" x14ac:dyDescent="0.25">
      <c r="B5" s="56" t="str">
        <f t="shared" si="0"/>
        <v>Conservador-HÍBRIDOS</v>
      </c>
      <c r="C5" s="58" t="s">
        <v>22</v>
      </c>
      <c r="D5" s="56" t="s">
        <v>26</v>
      </c>
      <c r="E5" s="59">
        <v>0.1</v>
      </c>
      <c r="G5" s="56" t="str">
        <v>Agressivo</v>
      </c>
    </row>
    <row r="6" spans="2:10" x14ac:dyDescent="0.25">
      <c r="B6" s="56" t="str">
        <f t="shared" si="0"/>
        <v>Conservador-FOFs</v>
      </c>
      <c r="C6" s="58" t="s">
        <v>22</v>
      </c>
      <c r="D6" s="56" t="s">
        <v>27</v>
      </c>
      <c r="E6" s="59">
        <v>0.1</v>
      </c>
    </row>
    <row r="7" spans="2:10" x14ac:dyDescent="0.25">
      <c r="B7" s="56" t="str">
        <f t="shared" si="0"/>
        <v>Conservador-DESENVOLVIMENTO</v>
      </c>
      <c r="C7" s="58" t="s">
        <v>22</v>
      </c>
      <c r="D7" s="56" t="s">
        <v>28</v>
      </c>
      <c r="E7" s="59">
        <v>0</v>
      </c>
    </row>
    <row r="8" spans="2:10" ht="15" thickBot="1" x14ac:dyDescent="0.3">
      <c r="B8" s="62" t="str">
        <f t="shared" si="0"/>
        <v>Conservador-HOTELARIAS</v>
      </c>
      <c r="C8" s="63" t="s">
        <v>22</v>
      </c>
      <c r="D8" s="62" t="s">
        <v>29</v>
      </c>
      <c r="E8" s="64">
        <v>0</v>
      </c>
    </row>
    <row r="9" spans="2:10" x14ac:dyDescent="0.25">
      <c r="B9" s="56" t="str">
        <f t="shared" si="0"/>
        <v>Moderado-PAPEL</v>
      </c>
      <c r="C9" s="58" t="s">
        <v>30</v>
      </c>
      <c r="D9" s="56" t="s">
        <v>23</v>
      </c>
      <c r="E9" s="59">
        <v>0.32</v>
      </c>
    </row>
    <row r="10" spans="2:10" x14ac:dyDescent="0.25">
      <c r="B10" s="65" t="str">
        <f t="shared" si="0"/>
        <v>Moderado-TIJOLO</v>
      </c>
      <c r="C10" s="66" t="s">
        <v>30</v>
      </c>
      <c r="D10" s="65" t="s">
        <v>24</v>
      </c>
      <c r="E10" s="67">
        <v>0.35</v>
      </c>
    </row>
    <row r="11" spans="2:10" x14ac:dyDescent="0.25">
      <c r="B11" s="56" t="str">
        <f t="shared" si="0"/>
        <v>Moderado-HÍBRIDOS</v>
      </c>
      <c r="C11" s="58" t="s">
        <v>30</v>
      </c>
      <c r="D11" s="56" t="s">
        <v>26</v>
      </c>
      <c r="E11" s="59">
        <v>0.08</v>
      </c>
    </row>
    <row r="12" spans="2:10" x14ac:dyDescent="0.25">
      <c r="B12" s="56" t="str">
        <f t="shared" si="0"/>
        <v>Moderado-FOFs</v>
      </c>
      <c r="C12" s="58" t="s">
        <v>30</v>
      </c>
      <c r="D12" s="56" t="s">
        <v>27</v>
      </c>
      <c r="E12" s="59">
        <v>0.05</v>
      </c>
    </row>
    <row r="13" spans="2:10" x14ac:dyDescent="0.25">
      <c r="B13" s="56" t="str">
        <f t="shared" si="0"/>
        <v>Moderado-DESENVOLVIMENTO</v>
      </c>
      <c r="C13" s="58" t="s">
        <v>30</v>
      </c>
      <c r="D13" s="56" t="s">
        <v>28</v>
      </c>
      <c r="E13" s="59">
        <v>0.1</v>
      </c>
    </row>
    <row r="14" spans="2:10" ht="15" thickBot="1" x14ac:dyDescent="0.3">
      <c r="B14" s="62" t="str">
        <f t="shared" si="0"/>
        <v>Moderado-HOTELARIAS</v>
      </c>
      <c r="C14" s="63" t="s">
        <v>30</v>
      </c>
      <c r="D14" s="62" t="s">
        <v>29</v>
      </c>
      <c r="E14" s="64">
        <v>0.1</v>
      </c>
    </row>
    <row r="15" spans="2:10" x14ac:dyDescent="0.25">
      <c r="B15" s="56" t="str">
        <f t="shared" si="0"/>
        <v>Agressivo-PAPEL</v>
      </c>
      <c r="C15" s="58" t="s">
        <v>31</v>
      </c>
      <c r="D15" s="56" t="s">
        <v>23</v>
      </c>
      <c r="E15" s="59">
        <v>0.5</v>
      </c>
    </row>
    <row r="16" spans="2:10" x14ac:dyDescent="0.25">
      <c r="B16" s="56" t="str">
        <f t="shared" si="0"/>
        <v>Agressivo-TIJOLO</v>
      </c>
      <c r="C16" s="58" t="s">
        <v>31</v>
      </c>
      <c r="D16" s="56" t="s">
        <v>24</v>
      </c>
      <c r="E16" s="59">
        <v>0.1</v>
      </c>
    </row>
    <row r="17" spans="2:5" x14ac:dyDescent="0.25">
      <c r="B17" s="56" t="str">
        <f t="shared" si="0"/>
        <v>Agressivo-HÍBRIDOS</v>
      </c>
      <c r="C17" s="58" t="s">
        <v>31</v>
      </c>
      <c r="D17" s="56" t="s">
        <v>26</v>
      </c>
      <c r="E17" s="59">
        <v>0.05</v>
      </c>
    </row>
    <row r="18" spans="2:5" x14ac:dyDescent="0.25">
      <c r="B18" s="56" t="str">
        <f t="shared" si="0"/>
        <v>Agressivo-FOFs</v>
      </c>
      <c r="C18" s="58" t="s">
        <v>31</v>
      </c>
      <c r="D18" s="56" t="s">
        <v>27</v>
      </c>
      <c r="E18" s="59">
        <v>0.05</v>
      </c>
    </row>
    <row r="19" spans="2:5" x14ac:dyDescent="0.25">
      <c r="B19" s="56" t="str">
        <f t="shared" si="0"/>
        <v>Agressivo-DESENVOLVIMENTO</v>
      </c>
      <c r="C19" s="58" t="s">
        <v>31</v>
      </c>
      <c r="D19" s="56" t="s">
        <v>28</v>
      </c>
      <c r="E19" s="59">
        <v>0.2</v>
      </c>
    </row>
    <row r="20" spans="2:5" x14ac:dyDescent="0.25">
      <c r="B20" s="56" t="str">
        <f t="shared" si="0"/>
        <v>Agressivo-HOTELARIAS</v>
      </c>
      <c r="C20" s="58" t="s">
        <v>31</v>
      </c>
      <c r="D20" s="56" t="s">
        <v>29</v>
      </c>
      <c r="E20" s="59">
        <v>0.1</v>
      </c>
    </row>
    <row r="21" spans="2:5" x14ac:dyDescent="0.25">
      <c r="E21" s="68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6</vt:i4>
      </vt:variant>
    </vt:vector>
  </HeadingPairs>
  <TitlesOfParts>
    <vt:vector size="8" baseType="lpstr">
      <vt:lpstr>Investimentos</vt:lpstr>
      <vt:lpstr>Perfil_Investimento</vt:lpstr>
      <vt:lpstr>Aporte</vt:lpstr>
      <vt:lpstr>Patrimonio</vt:lpstr>
      <vt:lpstr>Perfil</vt:lpstr>
      <vt:lpstr>Qtde_Anos</vt:lpstr>
      <vt:lpstr>Rendimento_Carteira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 Xavier</dc:creator>
  <cp:lastModifiedBy>Carlo Xavier</cp:lastModifiedBy>
  <dcterms:created xsi:type="dcterms:W3CDTF">2025-06-22T17:45:10Z</dcterms:created>
  <dcterms:modified xsi:type="dcterms:W3CDTF">2025-06-22T18:40:29Z</dcterms:modified>
</cp:coreProperties>
</file>