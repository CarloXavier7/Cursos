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E7EABA72-A300-45FD-A65A-EDEA35416AF0}" xr6:coauthVersionLast="47" xr6:coauthVersionMax="47" xr10:uidLastSave="{00000000-0000-0000-0000-000000000000}"/>
  <bookViews>
    <workbookView xWindow="-120" yWindow="-120" windowWidth="29040" windowHeight="15720" xr2:uid="{F2BED123-BACE-4F71-9926-D8C1BB0A7C0B}"/>
  </bookViews>
  <sheets>
    <sheet name="Titular" sheetId="1" r:id="rId1"/>
    <sheet name="Informes" sheetId="4" r:id="rId2"/>
    <sheet name="Notas" sheetId="7" r:id="rId3"/>
    <sheet name="Bancos" sheetId="6" r:id="rId4"/>
  </sheets>
  <definedNames>
    <definedName name="_xlnm._FilterDatabase" localSheetId="3" hidden="1">Bancos!$A$1:$C$51</definedName>
    <definedName name="V_Bancos">Bancos!$C$2:$C$51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</calcChain>
</file>

<file path=xl/sharedStrings.xml><?xml version="1.0" encoding="utf-8"?>
<sst xmlns="http://schemas.openxmlformats.org/spreadsheetml/2006/main" count="105" uniqueCount="96">
  <si>
    <t>NOME</t>
  </si>
  <si>
    <t>CPF</t>
  </si>
  <si>
    <t>NASCIMENTO</t>
  </si>
  <si>
    <t>CÔJUNGE</t>
  </si>
  <si>
    <t>RUA</t>
  </si>
  <si>
    <t>RUA ABREVIADA</t>
  </si>
  <si>
    <t>CEP</t>
  </si>
  <si>
    <t>TELEFONE</t>
  </si>
  <si>
    <t>CELULAR</t>
  </si>
  <si>
    <t>E-MAIL</t>
  </si>
  <si>
    <t>HOUVE ALTERAÇÕES NA ENTREGA ANTERIOR</t>
  </si>
  <si>
    <t>DEPENDENTE CÔNJUGE</t>
  </si>
  <si>
    <t>RESIDENTE EXTERIOR</t>
  </si>
  <si>
    <t>1. DADOS DO TITULAR</t>
  </si>
  <si>
    <t>Preencha os dados da sua pessoa física abaixo</t>
  </si>
  <si>
    <t>Não</t>
  </si>
  <si>
    <t>Sim</t>
  </si>
  <si>
    <t>Steve Rogers</t>
  </si>
  <si>
    <t>Peggy Carter</t>
  </si>
  <si>
    <t>Rua Marvel, 112.</t>
  </si>
  <si>
    <t>12112-112</t>
  </si>
  <si>
    <t>steve.rogers@marvel.com</t>
  </si>
  <si>
    <t>TÍTULO ELEITOR</t>
  </si>
  <si>
    <t>2. INFORMES DE RENDIMENTOS BANCÁRIOS</t>
  </si>
  <si>
    <t>Preencha dados atuais de cada banco.</t>
  </si>
  <si>
    <t>BANCO</t>
  </si>
  <si>
    <t>VALOR ATUAL</t>
  </si>
  <si>
    <t>ANEXO 🖇️</t>
  </si>
  <si>
    <t>1 - Banco do Brasil</t>
  </si>
  <si>
    <t>237 - Banco Bradesco</t>
  </si>
  <si>
    <t>77 - Banco Inter</t>
  </si>
  <si>
    <t>Banco do Brasil</t>
  </si>
  <si>
    <t>XP Investimentos CCTVM S.A.</t>
  </si>
  <si>
    <t>Caixa Econômica Federal</t>
  </si>
  <si>
    <t>Banco Western Union do Brasil</t>
  </si>
  <si>
    <t>Banco Itaú BBA S.A.</t>
  </si>
  <si>
    <t>Stone Pagamentos</t>
  </si>
  <si>
    <t>Banco BTG Pactual</t>
  </si>
  <si>
    <t>Banco Original</t>
  </si>
  <si>
    <t>Banco Bonsucesso</t>
  </si>
  <si>
    <t>Banco Cruzeiro do Sul</t>
  </si>
  <si>
    <t>Banco Bradesco</t>
  </si>
  <si>
    <t>Banco de Pernambuco</t>
  </si>
  <si>
    <t>Banco Clássico</t>
  </si>
  <si>
    <t>Banco de Crédito e Varejo (BCV)</t>
  </si>
  <si>
    <t>Nubank</t>
  </si>
  <si>
    <t>Banco do Estado do Rio de Janeiro</t>
  </si>
  <si>
    <t>PagBank</t>
  </si>
  <si>
    <t>Banco da Amazônia</t>
  </si>
  <si>
    <t>Banco Santander</t>
  </si>
  <si>
    <t>C6 Bank</t>
  </si>
  <si>
    <t>Itaú Unibanco</t>
  </si>
  <si>
    <t>Banco do Estado do Pará</t>
  </si>
  <si>
    <t>Banco JPMorgan S.A.</t>
  </si>
  <si>
    <t>PicPay</t>
  </si>
  <si>
    <t>Banco do Nordeste do Brasil</t>
  </si>
  <si>
    <t>Banco do Estado do Rio Grande do Sul</t>
  </si>
  <si>
    <t>Banco Safra</t>
  </si>
  <si>
    <t>Banco BVA</t>
  </si>
  <si>
    <t>Banco Sumitomo Mitsui Brasileiro</t>
  </si>
  <si>
    <t>Citibank</t>
  </si>
  <si>
    <t>Banco Luso Brasileiro</t>
  </si>
  <si>
    <t>Banco Industrial do Brasil</t>
  </si>
  <si>
    <t>Banco VR</t>
  </si>
  <si>
    <t>Hipercard Banco Múltiplo</t>
  </si>
  <si>
    <t>Banco Triângulo</t>
  </si>
  <si>
    <t>Banco Lemon</t>
  </si>
  <si>
    <t>Banco AJ Renner</t>
  </si>
  <si>
    <t>Banco Votorantim</t>
  </si>
  <si>
    <t>Banco Morgan Stanley</t>
  </si>
  <si>
    <t>Banco Daycoval</t>
  </si>
  <si>
    <t>Banco Rural Mais</t>
  </si>
  <si>
    <t>Banco Gerdau</t>
  </si>
  <si>
    <t>Banco Neon</t>
  </si>
  <si>
    <t>Banco J. Safra</t>
  </si>
  <si>
    <t>Banco Modal</t>
  </si>
  <si>
    <t>Banco Cooperativo Sicredi S.A.</t>
  </si>
  <si>
    <t>Banco Simples</t>
  </si>
  <si>
    <t>Banco Inter</t>
  </si>
  <si>
    <t>Banco JBS</t>
  </si>
  <si>
    <t>Banco Topázio</t>
  </si>
  <si>
    <t>Códigos</t>
  </si>
  <si>
    <t>Banco</t>
  </si>
  <si>
    <t>Mesclado</t>
  </si>
  <si>
    <t>1º Banco</t>
  </si>
  <si>
    <t>2º Banco</t>
  </si>
  <si>
    <t>3º Banco</t>
  </si>
  <si>
    <t>Valor Total</t>
  </si>
  <si>
    <t>Banco_Brasil.pdf</t>
  </si>
  <si>
    <t>Banco_Inter.pdf</t>
  </si>
  <si>
    <t>Banco_Bradesco.pdf</t>
  </si>
  <si>
    <t>3. NOTAS BANCÁRIAS OU EXTRATO DE HOLERITES</t>
  </si>
  <si>
    <t>Entradas</t>
  </si>
  <si>
    <t>DATA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</si>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</sst>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164" formatCode="\(00\)\ 0####\-####"/>
    <numFmt numFmtId="165" formatCode="000&quot;.&quot;000&quot;.&quot;000\-00"/>
    <numFmt numFmtId="166" formatCode="\(00\)\ ####\-####"/>
    <numFmt numFmtId="168" formatCode="####&quot; &quot;####&quot; &quot;####"/>
    <numFmt numFmtId="169" formatCode="&quot;R$&quot;\ #,##0.00"/>
    <numFmt numFmtId="170" formatCode="dd/mmm/yyyy"/>
  </numFmts>
  <fonts count="12" x14ac:knownFonts="1">
    <font>
      <sz val="10"/>
      <color theme="1"/>
      <name val="Segoe UI"/>
      <family val="2"/>
    </font>
    <font>
      <b/>
      <sz val="15"/>
      <color theme="3"/>
      <name val="Segoe UI"/>
      <family val="2"/>
    </font>
    <font>
      <sz val="10"/>
      <color theme="1"/>
      <name val="Segoe UI Semilight"/>
      <family val="2"/>
    </font>
    <font>
      <i/>
      <sz val="10"/>
      <color theme="1"/>
      <name val="Segoe UI"/>
      <family val="2"/>
    </font>
    <font>
      <b/>
      <sz val="11"/>
      <color theme="3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0"/>
      <color theme="3"/>
      <name val="Segoe UI"/>
      <family val="2"/>
    </font>
    <font>
      <b/>
      <sz val="8"/>
      <color theme="0" tint="-0.34998626667073579"/>
      <name val="Segoe UI"/>
      <family val="2"/>
    </font>
    <font>
      <b/>
      <sz val="11"/>
      <color theme="0"/>
      <name val="Segoe UI"/>
      <family val="2"/>
    </font>
    <font>
      <b/>
      <sz val="11"/>
      <color theme="3" tint="-0.499984740745262"/>
      <name val="Segoe UI"/>
      <family val="2"/>
    </font>
    <font>
      <b/>
      <sz val="12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14996795556505021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14996795556505021"/>
      </bottom>
      <diagonal/>
    </border>
    <border>
      <left style="medium">
        <color theme="0" tint="-0.34998626667073579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34998626667073579"/>
      </left>
      <right/>
      <top style="thin">
        <color theme="0" tint="-0.14996795556505021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14996795556505021"/>
      </top>
      <bottom style="medium">
        <color theme="0" tint="-0.34998626667073579"/>
      </bottom>
      <diagonal/>
    </border>
    <border>
      <left/>
      <right/>
      <top/>
      <bottom style="thick">
        <color theme="3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4" fillId="0" borderId="9" applyNumberFormat="0" applyFill="0" applyAlignment="0" applyProtection="0"/>
    <xf numFmtId="0" fontId="6" fillId="0" borderId="0"/>
  </cellStyleXfs>
  <cellXfs count="39">
    <xf numFmtId="0" fontId="0" fillId="0" borderId="0" xfId="0"/>
    <xf numFmtId="0" fontId="2" fillId="0" borderId="2" xfId="0" applyFont="1" applyBorder="1" applyAlignment="1">
      <alignment horizontal="right" vertical="center" indent="1"/>
    </xf>
    <xf numFmtId="0" fontId="2" fillId="0" borderId="4" xfId="0" applyFont="1" applyBorder="1" applyAlignment="1">
      <alignment horizontal="right" vertical="center" indent="1"/>
    </xf>
    <xf numFmtId="0" fontId="2" fillId="0" borderId="6" xfId="0" applyFont="1" applyBorder="1" applyAlignment="1">
      <alignment horizontal="right" vertical="center" indent="1"/>
    </xf>
    <xf numFmtId="0" fontId="1" fillId="0" borderId="8" xfId="1" applyBorder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horizontal="left" vertical="center" indent="2"/>
    </xf>
    <xf numFmtId="0" fontId="6" fillId="0" borderId="0" xfId="3"/>
    <xf numFmtId="0" fontId="7" fillId="0" borderId="9" xfId="2" applyFont="1" applyAlignment="1">
      <alignment horizontal="center" vertical="center"/>
    </xf>
    <xf numFmtId="0" fontId="6" fillId="0" borderId="0" xfId="3" applyAlignment="1">
      <alignment horizontal="left" vertical="center" indent="1"/>
    </xf>
    <xf numFmtId="0" fontId="6" fillId="0" borderId="0" xfId="3" applyAlignment="1">
      <alignment horizontal="right" vertical="center" indent="1"/>
    </xf>
    <xf numFmtId="0" fontId="2" fillId="0" borderId="0" xfId="0" applyFont="1" applyFill="1" applyBorder="1" applyAlignment="1">
      <alignment horizontal="right" vertical="center" indent="1"/>
    </xf>
    <xf numFmtId="14" fontId="0" fillId="0" borderId="0" xfId="0" applyNumberFormat="1" applyFill="1" applyBorder="1" applyAlignment="1">
      <alignment horizontal="left" vertical="center" indent="1"/>
    </xf>
    <xf numFmtId="166" fontId="0" fillId="0" borderId="0" xfId="0" applyNumberFormat="1" applyFill="1" applyBorder="1" applyAlignment="1">
      <alignment horizontal="left" vertical="center" indent="1"/>
    </xf>
    <xf numFmtId="0" fontId="8" fillId="0" borderId="0" xfId="0" applyFont="1"/>
    <xf numFmtId="0" fontId="9" fillId="4" borderId="0" xfId="0" applyFont="1" applyFill="1" applyAlignment="1">
      <alignment horizontal="centerContinuous" vertical="center"/>
    </xf>
    <xf numFmtId="169" fontId="10" fillId="3" borderId="0" xfId="0" applyNumberFormat="1" applyFont="1" applyFill="1" applyAlignment="1">
      <alignment horizontal="centerContinuous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Continuous" vertical="center"/>
    </xf>
    <xf numFmtId="0" fontId="11" fillId="4" borderId="12" xfId="0" applyFont="1" applyFill="1" applyBorder="1" applyAlignment="1">
      <alignment horizontal="centerContinuous" vertical="center"/>
    </xf>
    <xf numFmtId="0" fontId="11" fillId="4" borderId="13" xfId="0" applyFont="1" applyFill="1" applyBorder="1" applyAlignment="1">
      <alignment horizontal="centerContinuous" vertical="center"/>
    </xf>
    <xf numFmtId="0" fontId="0" fillId="2" borderId="3" xfId="0" applyFill="1" applyBorder="1" applyAlignment="1" applyProtection="1">
      <alignment horizontal="left" vertical="center" indent="1"/>
      <protection locked="0"/>
    </xf>
    <xf numFmtId="165" fontId="0" fillId="2" borderId="5" xfId="0" applyNumberFormat="1" applyFill="1" applyBorder="1" applyAlignment="1" applyProtection="1">
      <alignment horizontal="left" vertical="center" indent="1"/>
      <protection locked="0"/>
    </xf>
    <xf numFmtId="168" fontId="0" fillId="2" borderId="5" xfId="0" applyNumberFormat="1" applyFill="1" applyBorder="1" applyAlignment="1" applyProtection="1">
      <alignment horizontal="left" vertical="center" indent="1"/>
      <protection locked="0"/>
    </xf>
    <xf numFmtId="14" fontId="0" fillId="2" borderId="5" xfId="0" applyNumberFormat="1" applyFill="1" applyBorder="1" applyAlignment="1" applyProtection="1">
      <alignment horizontal="left" vertical="center" indent="1"/>
      <protection locked="0"/>
    </xf>
    <xf numFmtId="0" fontId="0" fillId="2" borderId="5" xfId="0" applyFill="1" applyBorder="1" applyAlignment="1" applyProtection="1">
      <alignment horizontal="left" vertical="center" indent="1"/>
      <protection locked="0"/>
    </xf>
    <xf numFmtId="166" fontId="0" fillId="2" borderId="5" xfId="0" applyNumberFormat="1" applyFill="1" applyBorder="1" applyAlignment="1" applyProtection="1">
      <alignment horizontal="left" vertical="center" indent="1"/>
      <protection locked="0"/>
    </xf>
    <xf numFmtId="164" fontId="0" fillId="2" borderId="5" xfId="0" applyNumberFormat="1" applyFill="1" applyBorder="1" applyAlignment="1" applyProtection="1">
      <alignment horizontal="left" vertical="center" indent="1"/>
      <protection locked="0"/>
    </xf>
    <xf numFmtId="0" fontId="0" fillId="2" borderId="7" xfId="0" applyFill="1" applyBorder="1" applyAlignment="1" applyProtection="1">
      <alignment horizontal="left" vertical="center" indent="1"/>
      <protection locked="0"/>
    </xf>
    <xf numFmtId="7" fontId="0" fillId="2" borderId="5" xfId="0" applyNumberFormat="1" applyFill="1" applyBorder="1" applyAlignment="1" applyProtection="1">
      <alignment horizontal="left" vertical="center" indent="1"/>
      <protection locked="0"/>
    </xf>
    <xf numFmtId="170" fontId="2" fillId="0" borderId="0" xfId="0" applyNumberFormat="1" applyFont="1" applyFill="1" applyBorder="1" applyAlignment="1" applyProtection="1">
      <alignment horizontal="right" vertical="center" indent="1"/>
      <protection locked="0"/>
    </xf>
    <xf numFmtId="7" fontId="0" fillId="0" borderId="0" xfId="0" applyNumberFormat="1" applyFill="1" applyBorder="1" applyAlignment="1" applyProtection="1">
      <alignment horizontal="left" vertical="center" indent="1"/>
      <protection locked="0"/>
    </xf>
    <xf numFmtId="169" fontId="0" fillId="0" borderId="0" xfId="0" applyNumberFormat="1" applyFill="1" applyBorder="1" applyProtection="1">
      <protection locked="0"/>
    </xf>
    <xf numFmtId="168" fontId="0" fillId="0" borderId="0" xfId="0" applyNumberFormat="1" applyFill="1" applyBorder="1" applyAlignment="1" applyProtection="1">
      <alignment horizontal="left" vertical="center" indent="1"/>
      <protection locked="0"/>
    </xf>
    <xf numFmtId="14" fontId="0" fillId="0" borderId="0" xfId="0" applyNumberFormat="1" applyFill="1" applyBorder="1" applyAlignment="1" applyProtection="1">
      <alignment horizontal="left" vertical="center" indent="1"/>
      <protection locked="0"/>
    </xf>
    <xf numFmtId="0" fontId="0" fillId="0" borderId="0" xfId="0" applyFill="1" applyBorder="1" applyAlignment="1" applyProtection="1">
      <alignment horizontal="left" vertical="center" indent="1"/>
      <protection locked="0"/>
    </xf>
    <xf numFmtId="166" fontId="0" fillId="0" borderId="0" xfId="0" applyNumberFormat="1" applyFill="1" applyBorder="1" applyAlignment="1" applyProtection="1">
      <alignment horizontal="left" vertical="center" indent="1"/>
      <protection locked="0"/>
    </xf>
    <xf numFmtId="164" fontId="0" fillId="0" borderId="0" xfId="0" applyNumberFormat="1" applyFill="1" applyBorder="1" applyAlignment="1" applyProtection="1">
      <alignment horizontal="left" vertical="center" indent="1"/>
      <protection locked="0"/>
    </xf>
  </cellXfs>
  <cellStyles count="4">
    <cellStyle name="Normal" xfId="0" builtinId="0"/>
    <cellStyle name="Normal 2" xfId="3" xr:uid="{2F9094A0-304D-432C-99BB-852F1B5B18DE}"/>
    <cellStyle name="Título 1" xfId="1" builtinId="16"/>
    <cellStyle name="Título 3" xfId="2" builtinId="18"/>
  </cellStyles>
  <dxfs count="7">
    <dxf>
      <fill>
        <patternFill patternType="none">
          <fgColor indexed="64"/>
          <bgColor auto="1"/>
        </patternFill>
      </fill>
      <protection locked="0" hidden="0"/>
    </dxf>
    <dxf>
      <numFmt numFmtId="169" formatCode="&quot;R$&quot;\ #,##0.00"/>
      <fill>
        <patternFill patternType="none">
          <fgColor indexed="64"/>
          <bgColor auto="1"/>
        </patternFill>
      </fill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Semilight"/>
        <family val="2"/>
        <scheme val="none"/>
      </font>
      <numFmt numFmtId="170" formatCode="dd/mmm/yyyy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  <protection locked="0" hidden="0"/>
    </dxf>
    <dxf>
      <border>
        <bottom style="medium">
          <color theme="3"/>
        </bottom>
      </border>
    </dxf>
    <dxf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fill>
        <patternFill>
          <fgColor indexed="64"/>
          <bgColor theme="3" tint="0.39997558519241921"/>
        </patternFill>
      </fill>
    </dxf>
  </dxfs>
  <tableStyles count="0" defaultTableStyle="TableStyleMedium2" defaultPivotStyle="PivotStyleLight16"/>
  <colors>
    <mruColors>
      <color rgb="FF004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</xdr:colOff>
      <xdr:row>1</xdr:row>
      <xdr:rowOff>1</xdr:rowOff>
    </xdr:from>
    <xdr:to>
      <xdr:col>2</xdr:col>
      <xdr:colOff>0</xdr:colOff>
      <xdr:row>27</xdr:row>
      <xdr:rowOff>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412AB038-A63A-8D02-4E3A-2A224979C53D}"/>
            </a:ext>
          </a:extLst>
        </xdr:cNvPr>
        <xdr:cNvGrpSpPr/>
      </xdr:nvGrpSpPr>
      <xdr:grpSpPr>
        <a:xfrm>
          <a:off x="114301" y="123826"/>
          <a:ext cx="2047874" cy="5095874"/>
          <a:chOff x="114301" y="123825"/>
          <a:chExt cx="2047874" cy="5114818"/>
        </a:xfrm>
      </xdr:grpSpPr>
      <xdr:sp macro="" textlink="">
        <xdr:nvSpPr>
          <xdr:cNvPr id="2" name="Retângulo 1">
            <a:extLst>
              <a:ext uri="{FF2B5EF4-FFF2-40B4-BE49-F238E27FC236}">
                <a16:creationId xmlns:a16="http://schemas.microsoft.com/office/drawing/2014/main" id="{5F75C0E1-ED00-35F5-FAD6-A8D3ABD9F277}"/>
              </a:ext>
            </a:extLst>
          </xdr:cNvPr>
          <xdr:cNvSpPr/>
        </xdr:nvSpPr>
        <xdr:spPr>
          <a:xfrm>
            <a:off x="114301" y="123825"/>
            <a:ext cx="2047874" cy="5114818"/>
          </a:xfrm>
          <a:prstGeom prst="rect">
            <a:avLst/>
          </a:prstGeom>
          <a:gradFill>
            <a:gsLst>
              <a:gs pos="0">
                <a:schemeClr val="tx2">
                  <a:lumMod val="20000"/>
                  <a:lumOff val="80000"/>
                </a:schemeClr>
              </a:gs>
              <a:gs pos="67000">
                <a:schemeClr val="tx2">
                  <a:lumMod val="60000"/>
                  <a:lumOff val="40000"/>
                </a:schemeClr>
              </a:gs>
              <a:gs pos="100000">
                <a:schemeClr val="tx2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099C40D4-DB68-B691-AB45-08296C2CDFE8}"/>
              </a:ext>
            </a:extLst>
          </xdr:cNvPr>
          <xdr:cNvGrpSpPr/>
        </xdr:nvGrpSpPr>
        <xdr:grpSpPr>
          <a:xfrm>
            <a:off x="257818" y="276225"/>
            <a:ext cx="1760840" cy="647700"/>
            <a:chOff x="195263" y="276225"/>
            <a:chExt cx="1760840" cy="647700"/>
          </a:xfrm>
        </xdr:grpSpPr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E37072EC-2295-FCCE-BCA7-E8D3FE0C40A5}"/>
                </a:ext>
              </a:extLst>
            </xdr:cNvPr>
            <xdr:cNvSpPr txBox="1"/>
          </xdr:nvSpPr>
          <xdr:spPr>
            <a:xfrm>
              <a:off x="195263" y="314325"/>
              <a:ext cx="131445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400" b="1" cap="none" spc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I</a:t>
              </a:r>
              <a:r>
                <a:rPr lang="pt-BR" sz="1200" b="1" cap="none" spc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MPOSTO</a:t>
              </a:r>
              <a:endParaRPr lang="pt-BR" sz="1400" b="1" cap="none" spc="0" baseline="0">
                <a:ln w="0">
                  <a:noFill/>
                </a:ln>
                <a:gradFill flip="none" rotWithShape="1">
                  <a:gsLst>
                    <a:gs pos="0">
                      <a:srgbClr val="00486E">
                        <a:shade val="30000"/>
                        <a:satMod val="115000"/>
                      </a:srgbClr>
                    </a:gs>
                    <a:gs pos="50000">
                      <a:srgbClr val="00486E">
                        <a:shade val="67500"/>
                        <a:satMod val="115000"/>
                      </a:srgbClr>
                    </a:gs>
                    <a:gs pos="100000">
                      <a:srgbClr val="00486E">
                        <a:shade val="100000"/>
                        <a:satMod val="115000"/>
                      </a:srgbClr>
                    </a:gs>
                  </a:gsLst>
                  <a:lin ang="10800000" scaled="1"/>
                  <a:tileRect/>
                </a:gra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r>
                <a:rPr lang="pt-BR" sz="12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DE</a:t>
              </a:r>
              <a:r>
                <a:rPr lang="pt-BR" sz="14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 R</a:t>
              </a:r>
              <a:r>
                <a:rPr lang="pt-BR" sz="12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ENDA</a:t>
              </a:r>
              <a:endParaRPr lang="pt-BR" sz="1400" b="1" cap="none" spc="0">
                <a:ln w="0">
                  <a:noFill/>
                </a:ln>
                <a:gradFill flip="none" rotWithShape="1">
                  <a:gsLst>
                    <a:gs pos="0">
                      <a:srgbClr val="00486E">
                        <a:shade val="30000"/>
                        <a:satMod val="115000"/>
                      </a:srgbClr>
                    </a:gs>
                    <a:gs pos="50000">
                      <a:srgbClr val="00486E">
                        <a:shade val="67500"/>
                        <a:satMod val="115000"/>
                      </a:srgbClr>
                    </a:gs>
                    <a:gs pos="100000">
                      <a:srgbClr val="00486E">
                        <a:shade val="100000"/>
                        <a:satMod val="115000"/>
                      </a:srgbClr>
                    </a:gs>
                  </a:gsLst>
                  <a:lin ang="10800000" scaled="1"/>
                  <a:tileRect/>
                </a:gra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9" name="Imagem 8" descr="Grupo Nova Cont">
              <a:extLst>
                <a:ext uri="{FF2B5EF4-FFF2-40B4-BE49-F238E27FC236}">
                  <a16:creationId xmlns:a16="http://schemas.microsoft.com/office/drawing/2014/main" id="{A82AE957-721F-84D0-E7D2-C2B3090A14E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colorTemperature colorTemp="8800"/>
                      </a14:imgEffect>
                      <a14:imgEffect>
                        <a14:saturation sat="3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90651" y="276225"/>
              <a:ext cx="565452" cy="6477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F3F3F777-8276-7193-77DD-14135A801FC9}"/>
              </a:ext>
            </a:extLst>
          </xdr:cNvPr>
          <xdr:cNvGrpSpPr/>
        </xdr:nvGrpSpPr>
        <xdr:grpSpPr>
          <a:xfrm>
            <a:off x="184238" y="1219198"/>
            <a:ext cx="1908000" cy="1771652"/>
            <a:chOff x="174713" y="1219198"/>
            <a:chExt cx="1908000" cy="1771652"/>
          </a:xfrm>
        </xdr:grpSpPr>
        <xdr:sp macro="" textlink="">
          <xdr:nvSpPr>
            <xdr:cNvPr id="7" name="CaixaDeTexto 6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C481FACB-25BB-FF3D-B1F5-7A36D91A808F}"/>
                </a:ext>
              </a:extLst>
            </xdr:cNvPr>
            <xdr:cNvSpPr txBox="1"/>
          </xdr:nvSpPr>
          <xdr:spPr>
            <a:xfrm>
              <a:off x="174713" y="1219198"/>
              <a:ext cx="1908000" cy="466727"/>
            </a:xfrm>
            <a:prstGeom prst="roundRect">
              <a:avLst>
                <a:gd name="adj" fmla="val 37075"/>
              </a:avLst>
            </a:prstGeom>
            <a:gradFill flip="none" rotWithShape="1">
              <a:gsLst>
                <a:gs pos="49000">
                  <a:srgbClr val="00486E"/>
                </a:gs>
                <a:gs pos="100000">
                  <a:schemeClr val="tx2"/>
                </a:gs>
              </a:gsLst>
              <a:lin ang="0" scaled="1"/>
              <a:tileRect/>
            </a:gradFill>
            <a:ln w="9525" cmpd="sng">
              <a:solidFill>
                <a:srgbClr val="00486E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</a:t>
              </a:r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ITULAR</a:t>
              </a:r>
            </a:p>
          </xdr:txBody>
        </xdr:sp>
        <xdr:sp macro="" textlink="">
          <xdr:nvSpPr>
            <xdr:cNvPr id="10" name="CaixaDeTexto 9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DBB4A4AB-AE15-DB54-D4D1-CEE87ED6FA8D}"/>
                </a:ext>
              </a:extLst>
            </xdr:cNvPr>
            <xdr:cNvSpPr txBox="1"/>
          </xdr:nvSpPr>
          <xdr:spPr>
            <a:xfrm>
              <a:off x="174713" y="1871660"/>
              <a:ext cx="1908000" cy="466727"/>
            </a:xfrm>
            <a:prstGeom prst="roundRect">
              <a:avLst>
                <a:gd name="adj" fmla="val 37075"/>
              </a:avLst>
            </a:prstGeom>
            <a:solidFill>
              <a:schemeClr val="tx2">
                <a:lumMod val="60000"/>
                <a:lumOff val="40000"/>
              </a:schemeClr>
            </a:solidFill>
            <a:ln w="9525" cmpd="sng">
              <a:solidFill>
                <a:srgbClr val="00486E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I</a:t>
              </a:r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NFORMES</a:t>
              </a:r>
            </a:p>
          </xdr:txBody>
        </xdr:sp>
        <xdr:sp macro="" textlink="">
          <xdr:nvSpPr>
            <xdr:cNvPr id="11" name="CaixaDeTexto 10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79CBD79F-6897-91F2-C7ED-E8401CD1222D}"/>
                </a:ext>
              </a:extLst>
            </xdr:cNvPr>
            <xdr:cNvSpPr txBox="1"/>
          </xdr:nvSpPr>
          <xdr:spPr>
            <a:xfrm>
              <a:off x="174713" y="2524123"/>
              <a:ext cx="1908000" cy="466727"/>
            </a:xfrm>
            <a:prstGeom prst="roundRect">
              <a:avLst>
                <a:gd name="adj" fmla="val 37075"/>
              </a:avLst>
            </a:prstGeom>
            <a:solidFill>
              <a:schemeClr val="tx2">
                <a:lumMod val="60000"/>
                <a:lumOff val="40000"/>
              </a:schemeClr>
            </a:solidFill>
            <a:ln w="9525" cmpd="sng">
              <a:solidFill>
                <a:srgbClr val="00486E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N</a:t>
              </a:r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OTAS</a:t>
              </a:r>
            </a:p>
          </xdr:txBody>
        </xdr:sp>
      </xdr:grpSp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089AB8DB-7600-5F31-8505-F597AB7F6776}"/>
              </a:ext>
            </a:extLst>
          </xdr:cNvPr>
          <xdr:cNvGrpSpPr/>
        </xdr:nvGrpSpPr>
        <xdr:grpSpPr>
          <a:xfrm>
            <a:off x="200026" y="3343275"/>
            <a:ext cx="1876424" cy="676275"/>
            <a:chOff x="180976" y="3343275"/>
            <a:chExt cx="1876424" cy="676275"/>
          </a:xfrm>
        </xdr:grpSpPr>
        <xdr:cxnSp macro="">
          <xdr:nvCxnSpPr>
            <xdr:cNvPr id="5" name="Conector reto 4">
              <a:extLst>
                <a:ext uri="{FF2B5EF4-FFF2-40B4-BE49-F238E27FC236}">
                  <a16:creationId xmlns:a16="http://schemas.microsoft.com/office/drawing/2014/main" id="{0E7D81A5-6F23-82EE-21E0-D55B0C752D55}"/>
                </a:ext>
              </a:extLst>
            </xdr:cNvPr>
            <xdr:cNvCxnSpPr/>
          </xdr:nvCxnSpPr>
          <xdr:spPr>
            <a:xfrm>
              <a:off x="266701" y="3343275"/>
              <a:ext cx="1704975" cy="0"/>
            </a:xfrm>
            <a:prstGeom prst="line">
              <a:avLst/>
            </a:prstGeom>
            <a:ln w="38100">
              <a:gradFill flip="none" rotWithShape="1">
                <a:gsLst>
                  <a:gs pos="50000">
                    <a:schemeClr val="accent1">
                      <a:lumMod val="5000"/>
                      <a:lumOff val="95000"/>
                    </a:schemeClr>
                  </a:gs>
                  <a:gs pos="7000">
                    <a:srgbClr val="00486E"/>
                  </a:gs>
                  <a:gs pos="93000">
                    <a:srgbClr val="00486E"/>
                  </a:gs>
                </a:gsLst>
                <a:lin ang="0" scaled="1"/>
                <a:tileRect/>
              </a:gra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040064B6-0F57-4124-AD65-EEBD47BA0ED3}"/>
                </a:ext>
              </a:extLst>
            </xdr:cNvPr>
            <xdr:cNvSpPr txBox="1"/>
          </xdr:nvSpPr>
          <xdr:spPr>
            <a:xfrm>
              <a:off x="180976" y="3448050"/>
              <a:ext cx="1876424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400" b="1" cap="none" spc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S</a:t>
              </a:r>
              <a:r>
                <a:rPr lang="pt-BR" sz="1200" b="1" cap="none" spc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YSTEM </a:t>
              </a:r>
              <a:r>
                <a:rPr lang="pt-BR" sz="12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BY</a:t>
              </a:r>
              <a:r>
                <a:rPr lang="pt-BR" sz="14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 C</a:t>
              </a:r>
              <a:r>
                <a:rPr lang="pt-BR" sz="12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ARLO</a:t>
              </a:r>
              <a:endParaRPr lang="pt-BR" sz="1400" b="1" cap="none" spc="0">
                <a:ln w="0">
                  <a:noFill/>
                </a:ln>
                <a:gradFill flip="none" rotWithShape="1">
                  <a:gsLst>
                    <a:gs pos="0">
                      <a:srgbClr val="00486E">
                        <a:shade val="30000"/>
                        <a:satMod val="115000"/>
                      </a:srgbClr>
                    </a:gs>
                    <a:gs pos="50000">
                      <a:srgbClr val="00486E">
                        <a:shade val="67500"/>
                        <a:satMod val="115000"/>
                      </a:srgbClr>
                    </a:gs>
                    <a:gs pos="100000">
                      <a:srgbClr val="00486E">
                        <a:shade val="100000"/>
                        <a:satMod val="115000"/>
                      </a:srgbClr>
                    </a:gs>
                  </a:gsLst>
                  <a:lin ang="10800000" scaled="1"/>
                  <a:tileRect/>
                </a:gra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4</xdr:col>
      <xdr:colOff>1038225</xdr:colOff>
      <xdr:row>21</xdr:row>
      <xdr:rowOff>38100</xdr:rowOff>
    </xdr:from>
    <xdr:to>
      <xdr:col>4</xdr:col>
      <xdr:colOff>2581274</xdr:colOff>
      <xdr:row>23</xdr:row>
      <xdr:rowOff>0</xdr:rowOff>
    </xdr:to>
    <xdr:grpSp>
      <xdr:nvGrpSpPr>
        <xdr:cNvPr id="17" name="Agrupar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ECDBD48-6546-83A0-6F8F-2E47DC5412BA}"/>
            </a:ext>
          </a:extLst>
        </xdr:cNvPr>
        <xdr:cNvGrpSpPr/>
      </xdr:nvGrpSpPr>
      <xdr:grpSpPr>
        <a:xfrm>
          <a:off x="6162675" y="4171950"/>
          <a:ext cx="1543049" cy="323850"/>
          <a:chOff x="6562725" y="4200525"/>
          <a:chExt cx="1543049" cy="32385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C503971D-5DBC-02CE-3B23-51411F71F956}"/>
              </a:ext>
            </a:extLst>
          </xdr:cNvPr>
          <xdr:cNvSpPr txBox="1"/>
        </xdr:nvSpPr>
        <xdr:spPr>
          <a:xfrm>
            <a:off x="6562725" y="4200525"/>
            <a:ext cx="1543049" cy="323850"/>
          </a:xfrm>
          <a:prstGeom prst="rect">
            <a:avLst/>
          </a:prstGeom>
          <a:solidFill>
            <a:schemeClr val="tx2">
              <a:lumMod val="75000"/>
            </a:schemeClr>
          </a:solidFill>
          <a:ln w="9525" cmpd="sng">
            <a:solidFill>
              <a:schemeClr val="tx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1400" b="1">
                <a:solidFill>
                  <a:schemeClr val="bg1"/>
                </a:solidFill>
              </a:rPr>
              <a:t>Próximo</a:t>
            </a:r>
          </a:p>
        </xdr:txBody>
      </xdr:sp>
      <xdr:cxnSp macro="">
        <xdr:nvCxnSpPr>
          <xdr:cNvPr id="16" name="Conector de Seta Reta 15">
            <a:extLst>
              <a:ext uri="{FF2B5EF4-FFF2-40B4-BE49-F238E27FC236}">
                <a16:creationId xmlns:a16="http://schemas.microsoft.com/office/drawing/2014/main" id="{99535B6C-1E01-83DA-CE30-878FF4E57E11}"/>
              </a:ext>
            </a:extLst>
          </xdr:cNvPr>
          <xdr:cNvCxnSpPr/>
        </xdr:nvCxnSpPr>
        <xdr:spPr>
          <a:xfrm>
            <a:off x="7391400" y="4362450"/>
            <a:ext cx="609600" cy="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</xdr:colOff>
      <xdr:row>1</xdr:row>
      <xdr:rowOff>1</xdr:rowOff>
    </xdr:from>
    <xdr:to>
      <xdr:col>2</xdr:col>
      <xdr:colOff>0</xdr:colOff>
      <xdr:row>27</xdr:row>
      <xdr:rowOff>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ECEE488D-4ACF-42D7-A114-8D52C7A5A1D9}"/>
            </a:ext>
          </a:extLst>
        </xdr:cNvPr>
        <xdr:cNvGrpSpPr/>
      </xdr:nvGrpSpPr>
      <xdr:grpSpPr>
        <a:xfrm>
          <a:off x="114301" y="123826"/>
          <a:ext cx="2047874" cy="5095874"/>
          <a:chOff x="114301" y="123825"/>
          <a:chExt cx="2047874" cy="5114818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241B2B8D-C9CB-5521-A71B-F0D79E3E17D3}"/>
              </a:ext>
            </a:extLst>
          </xdr:cNvPr>
          <xdr:cNvSpPr/>
        </xdr:nvSpPr>
        <xdr:spPr>
          <a:xfrm>
            <a:off x="114301" y="123825"/>
            <a:ext cx="2047874" cy="5114818"/>
          </a:xfrm>
          <a:prstGeom prst="rect">
            <a:avLst/>
          </a:prstGeom>
          <a:gradFill>
            <a:gsLst>
              <a:gs pos="0">
                <a:schemeClr val="tx2">
                  <a:lumMod val="20000"/>
                  <a:lumOff val="80000"/>
                </a:schemeClr>
              </a:gs>
              <a:gs pos="67000">
                <a:schemeClr val="tx2">
                  <a:lumMod val="60000"/>
                  <a:lumOff val="40000"/>
                </a:schemeClr>
              </a:gs>
              <a:gs pos="100000">
                <a:schemeClr val="tx2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DD869317-DF6E-1861-8B6F-450EAA720529}"/>
              </a:ext>
            </a:extLst>
          </xdr:cNvPr>
          <xdr:cNvGrpSpPr/>
        </xdr:nvGrpSpPr>
        <xdr:grpSpPr>
          <a:xfrm>
            <a:off x="257818" y="276225"/>
            <a:ext cx="1760840" cy="647700"/>
            <a:chOff x="195263" y="276225"/>
            <a:chExt cx="1760840" cy="647700"/>
          </a:xfrm>
        </xdr:grpSpPr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1AC217DD-B68E-63C0-C2E5-4C2BED9C1FFA}"/>
                </a:ext>
              </a:extLst>
            </xdr:cNvPr>
            <xdr:cNvSpPr txBox="1"/>
          </xdr:nvSpPr>
          <xdr:spPr>
            <a:xfrm>
              <a:off x="195263" y="314325"/>
              <a:ext cx="131445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400" b="1" cap="none" spc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I</a:t>
              </a:r>
              <a:r>
                <a:rPr lang="pt-BR" sz="1200" b="1" cap="none" spc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MPOSTO</a:t>
              </a:r>
              <a:endParaRPr lang="pt-BR" sz="1400" b="1" cap="none" spc="0" baseline="0">
                <a:ln w="0">
                  <a:noFill/>
                </a:ln>
                <a:gradFill flip="none" rotWithShape="1">
                  <a:gsLst>
                    <a:gs pos="0">
                      <a:srgbClr val="00486E">
                        <a:shade val="30000"/>
                        <a:satMod val="115000"/>
                      </a:srgbClr>
                    </a:gs>
                    <a:gs pos="50000">
                      <a:srgbClr val="00486E">
                        <a:shade val="67500"/>
                        <a:satMod val="115000"/>
                      </a:srgbClr>
                    </a:gs>
                    <a:gs pos="100000">
                      <a:srgbClr val="00486E">
                        <a:shade val="100000"/>
                        <a:satMod val="115000"/>
                      </a:srgbClr>
                    </a:gs>
                  </a:gsLst>
                  <a:lin ang="10800000" scaled="1"/>
                  <a:tileRect/>
                </a:gra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r>
                <a:rPr lang="pt-BR" sz="12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DE</a:t>
              </a:r>
              <a:r>
                <a:rPr lang="pt-BR" sz="14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 R</a:t>
              </a:r>
              <a:r>
                <a:rPr lang="pt-BR" sz="12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ENDA</a:t>
              </a:r>
              <a:endParaRPr lang="pt-BR" sz="1400" b="1" cap="none" spc="0">
                <a:ln w="0">
                  <a:noFill/>
                </a:ln>
                <a:gradFill flip="none" rotWithShape="1">
                  <a:gsLst>
                    <a:gs pos="0">
                      <a:srgbClr val="00486E">
                        <a:shade val="30000"/>
                        <a:satMod val="115000"/>
                      </a:srgbClr>
                    </a:gs>
                    <a:gs pos="50000">
                      <a:srgbClr val="00486E">
                        <a:shade val="67500"/>
                        <a:satMod val="115000"/>
                      </a:srgbClr>
                    </a:gs>
                    <a:gs pos="100000">
                      <a:srgbClr val="00486E">
                        <a:shade val="100000"/>
                        <a:satMod val="115000"/>
                      </a:srgbClr>
                    </a:gs>
                  </a:gsLst>
                  <a:lin ang="10800000" scaled="1"/>
                  <a:tileRect/>
                </a:gra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13" name="Imagem 12" descr="Grupo Nova Cont">
              <a:extLst>
                <a:ext uri="{FF2B5EF4-FFF2-40B4-BE49-F238E27FC236}">
                  <a16:creationId xmlns:a16="http://schemas.microsoft.com/office/drawing/2014/main" id="{6C8CFF35-F729-70B2-A821-C1B70EF3FAA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colorTemperature colorTemp="8800"/>
                      </a14:imgEffect>
                      <a14:imgEffect>
                        <a14:saturation sat="3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90651" y="276225"/>
              <a:ext cx="565452" cy="6477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AB3948C3-E2E9-C7C3-041A-A0247675BCFC}"/>
              </a:ext>
            </a:extLst>
          </xdr:cNvPr>
          <xdr:cNvGrpSpPr/>
        </xdr:nvGrpSpPr>
        <xdr:grpSpPr>
          <a:xfrm>
            <a:off x="184238" y="1219198"/>
            <a:ext cx="1908000" cy="1771652"/>
            <a:chOff x="174713" y="1219198"/>
            <a:chExt cx="1908000" cy="1771652"/>
          </a:xfrm>
        </xdr:grpSpPr>
        <xdr:sp macro="" textlink="">
          <xdr:nvSpPr>
            <xdr:cNvPr id="9" name="CaixaDeTexto 8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ED75478C-1A4E-31D9-594C-2AF0005CF287}"/>
                </a:ext>
              </a:extLst>
            </xdr:cNvPr>
            <xdr:cNvSpPr txBox="1"/>
          </xdr:nvSpPr>
          <xdr:spPr>
            <a:xfrm>
              <a:off x="174713" y="1219198"/>
              <a:ext cx="1908000" cy="466727"/>
            </a:xfrm>
            <a:prstGeom prst="roundRect">
              <a:avLst>
                <a:gd name="adj" fmla="val 37075"/>
              </a:avLst>
            </a:prstGeom>
            <a:solidFill>
              <a:schemeClr val="tx2">
                <a:lumMod val="60000"/>
                <a:lumOff val="40000"/>
              </a:schemeClr>
            </a:solidFill>
            <a:ln w="9525" cmpd="sng">
              <a:solidFill>
                <a:srgbClr val="00486E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</a:t>
              </a:r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ITULAR</a:t>
              </a:r>
            </a:p>
          </xdr:txBody>
        </xdr:sp>
        <xdr:sp macro="" textlink="">
          <xdr:nvSpPr>
            <xdr:cNvPr id="10" name="CaixaDeTexto 9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C6F2E477-0216-7DAB-D616-9297DF4BCB0A}"/>
                </a:ext>
              </a:extLst>
            </xdr:cNvPr>
            <xdr:cNvSpPr txBox="1"/>
          </xdr:nvSpPr>
          <xdr:spPr>
            <a:xfrm>
              <a:off x="174713" y="1871660"/>
              <a:ext cx="1908000" cy="466727"/>
            </a:xfrm>
            <a:prstGeom prst="roundRect">
              <a:avLst>
                <a:gd name="adj" fmla="val 37075"/>
              </a:avLst>
            </a:prstGeom>
            <a:gradFill flip="none" rotWithShape="1">
              <a:gsLst>
                <a:gs pos="49000">
                  <a:srgbClr val="00486E"/>
                </a:gs>
                <a:gs pos="100000">
                  <a:schemeClr val="tx2"/>
                </a:gs>
              </a:gsLst>
              <a:lin ang="0" scaled="1"/>
              <a:tileRect/>
            </a:gradFill>
            <a:ln w="9525" cmpd="sng">
              <a:solidFill>
                <a:srgbClr val="00486E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I</a:t>
              </a:r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NFORMES</a:t>
              </a:r>
            </a:p>
          </xdr:txBody>
        </xdr:sp>
        <xdr:sp macro="" textlink="">
          <xdr:nvSpPr>
            <xdr:cNvPr id="11" name="CaixaDeTexto 10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1D2AF567-C8C7-97EB-EC64-40EBADF1B5E3}"/>
                </a:ext>
              </a:extLst>
            </xdr:cNvPr>
            <xdr:cNvSpPr txBox="1"/>
          </xdr:nvSpPr>
          <xdr:spPr>
            <a:xfrm>
              <a:off x="174713" y="2524123"/>
              <a:ext cx="1908000" cy="466727"/>
            </a:xfrm>
            <a:prstGeom prst="roundRect">
              <a:avLst>
                <a:gd name="adj" fmla="val 37075"/>
              </a:avLst>
            </a:prstGeom>
            <a:solidFill>
              <a:schemeClr val="tx2">
                <a:lumMod val="60000"/>
                <a:lumOff val="40000"/>
              </a:schemeClr>
            </a:solidFill>
            <a:ln w="9525" cmpd="sng">
              <a:solidFill>
                <a:srgbClr val="00486E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N</a:t>
              </a:r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OTAS</a:t>
              </a:r>
            </a:p>
          </xdr:txBody>
        </xdr:sp>
      </xdr:grpSp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DF5F812B-7A55-464C-C734-23BDF8DE7135}"/>
              </a:ext>
            </a:extLst>
          </xdr:cNvPr>
          <xdr:cNvGrpSpPr/>
        </xdr:nvGrpSpPr>
        <xdr:grpSpPr>
          <a:xfrm>
            <a:off x="200026" y="3343275"/>
            <a:ext cx="1876424" cy="676275"/>
            <a:chOff x="180976" y="3343275"/>
            <a:chExt cx="1876424" cy="676275"/>
          </a:xfrm>
        </xdr:grpSpPr>
        <xdr:cxnSp macro="">
          <xdr:nvCxnSpPr>
            <xdr:cNvPr id="7" name="Conector reto 6">
              <a:extLst>
                <a:ext uri="{FF2B5EF4-FFF2-40B4-BE49-F238E27FC236}">
                  <a16:creationId xmlns:a16="http://schemas.microsoft.com/office/drawing/2014/main" id="{3D58AC9D-6FC3-3A46-2244-27AEF89C023E}"/>
                </a:ext>
              </a:extLst>
            </xdr:cNvPr>
            <xdr:cNvCxnSpPr/>
          </xdr:nvCxnSpPr>
          <xdr:spPr>
            <a:xfrm>
              <a:off x="266701" y="3343275"/>
              <a:ext cx="1704975" cy="0"/>
            </a:xfrm>
            <a:prstGeom prst="line">
              <a:avLst/>
            </a:prstGeom>
            <a:ln w="38100">
              <a:gradFill flip="none" rotWithShape="1">
                <a:gsLst>
                  <a:gs pos="50000">
                    <a:schemeClr val="accent1">
                      <a:lumMod val="5000"/>
                      <a:lumOff val="95000"/>
                    </a:schemeClr>
                  </a:gs>
                  <a:gs pos="7000">
                    <a:srgbClr val="00486E"/>
                  </a:gs>
                  <a:gs pos="93000">
                    <a:srgbClr val="00486E"/>
                  </a:gs>
                </a:gsLst>
                <a:lin ang="0" scaled="1"/>
                <a:tileRect/>
              </a:gra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48740664-F1F3-4F00-F6C6-7DFF5D3BC13C}"/>
                </a:ext>
              </a:extLst>
            </xdr:cNvPr>
            <xdr:cNvSpPr txBox="1"/>
          </xdr:nvSpPr>
          <xdr:spPr>
            <a:xfrm>
              <a:off x="180976" y="3448050"/>
              <a:ext cx="1876424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400" b="1" cap="none" spc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S</a:t>
              </a:r>
              <a:r>
                <a:rPr lang="pt-BR" sz="1200" b="1" cap="none" spc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YSTEM </a:t>
              </a:r>
              <a:r>
                <a:rPr lang="pt-BR" sz="12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BY</a:t>
              </a:r>
              <a:r>
                <a:rPr lang="pt-BR" sz="14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 C</a:t>
              </a:r>
              <a:r>
                <a:rPr lang="pt-BR" sz="12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ARLO</a:t>
              </a:r>
              <a:endParaRPr lang="pt-BR" sz="1400" b="1" cap="none" spc="0">
                <a:ln w="0">
                  <a:noFill/>
                </a:ln>
                <a:gradFill flip="none" rotWithShape="1">
                  <a:gsLst>
                    <a:gs pos="0">
                      <a:srgbClr val="00486E">
                        <a:shade val="30000"/>
                        <a:satMod val="115000"/>
                      </a:srgbClr>
                    </a:gs>
                    <a:gs pos="50000">
                      <a:srgbClr val="00486E">
                        <a:shade val="67500"/>
                        <a:satMod val="115000"/>
                      </a:srgbClr>
                    </a:gs>
                    <a:gs pos="100000">
                      <a:srgbClr val="00486E">
                        <a:shade val="100000"/>
                        <a:satMod val="115000"/>
                      </a:srgbClr>
                    </a:gs>
                  </a:gsLst>
                  <a:lin ang="10800000" scaled="1"/>
                  <a:tileRect/>
                </a:gra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4</xdr:col>
      <xdr:colOff>1038225</xdr:colOff>
      <xdr:row>23</xdr:row>
      <xdr:rowOff>38100</xdr:rowOff>
    </xdr:from>
    <xdr:to>
      <xdr:col>4</xdr:col>
      <xdr:colOff>2581274</xdr:colOff>
      <xdr:row>25</xdr:row>
      <xdr:rowOff>0</xdr:rowOff>
    </xdr:to>
    <xdr:grpSp>
      <xdr:nvGrpSpPr>
        <xdr:cNvPr id="14" name="Agrupar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FDFF2B5-2BD7-4DD9-A6F2-960C6E3B3AD9}"/>
            </a:ext>
          </a:extLst>
        </xdr:cNvPr>
        <xdr:cNvGrpSpPr/>
      </xdr:nvGrpSpPr>
      <xdr:grpSpPr>
        <a:xfrm>
          <a:off x="6162675" y="4533900"/>
          <a:ext cx="1543049" cy="323850"/>
          <a:chOff x="6562725" y="4200525"/>
          <a:chExt cx="1543049" cy="323850"/>
        </a:xfrm>
      </xdr:grpSpPr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2CAC210C-BDA0-8A94-E6AE-41EB17742171}"/>
              </a:ext>
            </a:extLst>
          </xdr:cNvPr>
          <xdr:cNvSpPr txBox="1"/>
        </xdr:nvSpPr>
        <xdr:spPr>
          <a:xfrm>
            <a:off x="6562725" y="4200525"/>
            <a:ext cx="1543049" cy="323850"/>
          </a:xfrm>
          <a:prstGeom prst="rect">
            <a:avLst/>
          </a:prstGeom>
          <a:solidFill>
            <a:schemeClr val="tx2">
              <a:lumMod val="75000"/>
            </a:schemeClr>
          </a:solidFill>
          <a:ln w="9525" cmpd="sng">
            <a:solidFill>
              <a:schemeClr val="tx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pt-BR" sz="1400" b="1">
                <a:solidFill>
                  <a:schemeClr val="bg1"/>
                </a:solidFill>
              </a:rPr>
              <a:t>Próximo</a:t>
            </a:r>
          </a:p>
        </xdr:txBody>
      </xdr:sp>
      <xdr:cxnSp macro="">
        <xdr:nvCxnSpPr>
          <xdr:cNvPr id="16" name="Conector de Seta Reta 15">
            <a:extLst>
              <a:ext uri="{FF2B5EF4-FFF2-40B4-BE49-F238E27FC236}">
                <a16:creationId xmlns:a16="http://schemas.microsoft.com/office/drawing/2014/main" id="{EA2F13A3-20F6-8771-41CE-51B080493A61}"/>
              </a:ext>
            </a:extLst>
          </xdr:cNvPr>
          <xdr:cNvCxnSpPr/>
        </xdr:nvCxnSpPr>
        <xdr:spPr>
          <a:xfrm>
            <a:off x="7391400" y="4362450"/>
            <a:ext cx="609600" cy="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3</xdr:col>
      <xdr:colOff>0</xdr:colOff>
      <xdr:row>23</xdr:row>
      <xdr:rowOff>38100</xdr:rowOff>
    </xdr:from>
    <xdr:to>
      <xdr:col>3</xdr:col>
      <xdr:colOff>1543049</xdr:colOff>
      <xdr:row>25</xdr:row>
      <xdr:rowOff>0</xdr:rowOff>
    </xdr:to>
    <xdr:grpSp>
      <xdr:nvGrpSpPr>
        <xdr:cNvPr id="17" name="Agrupar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771243-B85F-C6CE-ACDD-07A5B6122169}"/>
            </a:ext>
          </a:extLst>
        </xdr:cNvPr>
        <xdr:cNvGrpSpPr/>
      </xdr:nvGrpSpPr>
      <xdr:grpSpPr>
        <a:xfrm flipH="1">
          <a:off x="2343150" y="4533900"/>
          <a:ext cx="1543049" cy="323850"/>
          <a:chOff x="6562725" y="4200525"/>
          <a:chExt cx="1543049" cy="323850"/>
        </a:xfrm>
      </xdr:grpSpPr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4A329C78-655A-C693-90A2-C9B1E1F5C31F}"/>
              </a:ext>
            </a:extLst>
          </xdr:cNvPr>
          <xdr:cNvSpPr txBox="1"/>
        </xdr:nvSpPr>
        <xdr:spPr>
          <a:xfrm>
            <a:off x="6562725" y="4200525"/>
            <a:ext cx="1543049" cy="323850"/>
          </a:xfrm>
          <a:prstGeom prst="rect">
            <a:avLst/>
          </a:prstGeom>
          <a:solidFill>
            <a:schemeClr val="tx2">
              <a:lumMod val="75000"/>
            </a:schemeClr>
          </a:solidFill>
          <a:ln w="9525" cmpd="sng">
            <a:solidFill>
              <a:schemeClr val="tx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pt-BR" sz="1400" b="1">
                <a:solidFill>
                  <a:schemeClr val="bg1"/>
                </a:solidFill>
              </a:rPr>
              <a:t>Anterior</a:t>
            </a:r>
          </a:p>
        </xdr:txBody>
      </xdr:sp>
      <xdr:cxnSp macro="">
        <xdr:nvCxnSpPr>
          <xdr:cNvPr id="19" name="Conector de Seta Reta 18">
            <a:extLst>
              <a:ext uri="{FF2B5EF4-FFF2-40B4-BE49-F238E27FC236}">
                <a16:creationId xmlns:a16="http://schemas.microsoft.com/office/drawing/2014/main" id="{61D46D28-4EB7-2703-A8C5-7D380BE73EE5}"/>
              </a:ext>
            </a:extLst>
          </xdr:cNvPr>
          <xdr:cNvCxnSpPr/>
        </xdr:nvCxnSpPr>
        <xdr:spPr>
          <a:xfrm>
            <a:off x="7391400" y="4362450"/>
            <a:ext cx="609600" cy="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</xdr:colOff>
      <xdr:row>1</xdr:row>
      <xdr:rowOff>1</xdr:rowOff>
    </xdr:from>
    <xdr:to>
      <xdr:col>2</xdr:col>
      <xdr:colOff>0</xdr:colOff>
      <xdr:row>27</xdr:row>
      <xdr:rowOff>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ACC14D95-5AEB-4FFD-B531-5535BC2A4C25}"/>
            </a:ext>
          </a:extLst>
        </xdr:cNvPr>
        <xdr:cNvGrpSpPr/>
      </xdr:nvGrpSpPr>
      <xdr:grpSpPr>
        <a:xfrm>
          <a:off x="114301" y="123826"/>
          <a:ext cx="2047874" cy="5095874"/>
          <a:chOff x="114301" y="123825"/>
          <a:chExt cx="2047874" cy="5114818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14A308FF-60C1-5F74-C897-F3CF85DE1249}"/>
              </a:ext>
            </a:extLst>
          </xdr:cNvPr>
          <xdr:cNvSpPr/>
        </xdr:nvSpPr>
        <xdr:spPr>
          <a:xfrm>
            <a:off x="114301" y="123825"/>
            <a:ext cx="2047874" cy="5114818"/>
          </a:xfrm>
          <a:prstGeom prst="rect">
            <a:avLst/>
          </a:prstGeom>
          <a:gradFill>
            <a:gsLst>
              <a:gs pos="0">
                <a:schemeClr val="tx2">
                  <a:lumMod val="20000"/>
                  <a:lumOff val="80000"/>
                </a:schemeClr>
              </a:gs>
              <a:gs pos="67000">
                <a:schemeClr val="tx2">
                  <a:lumMod val="60000"/>
                  <a:lumOff val="40000"/>
                </a:schemeClr>
              </a:gs>
              <a:gs pos="100000">
                <a:schemeClr val="tx2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FA576751-1535-89FB-63CC-76E99E81BB5D}"/>
              </a:ext>
            </a:extLst>
          </xdr:cNvPr>
          <xdr:cNvGrpSpPr/>
        </xdr:nvGrpSpPr>
        <xdr:grpSpPr>
          <a:xfrm>
            <a:off x="257818" y="276225"/>
            <a:ext cx="1760840" cy="647700"/>
            <a:chOff x="195263" y="276225"/>
            <a:chExt cx="1760840" cy="647700"/>
          </a:xfrm>
        </xdr:grpSpPr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4DD9940C-66B2-6A84-840E-69BAAFD636AA}"/>
                </a:ext>
              </a:extLst>
            </xdr:cNvPr>
            <xdr:cNvSpPr txBox="1"/>
          </xdr:nvSpPr>
          <xdr:spPr>
            <a:xfrm>
              <a:off x="195263" y="314325"/>
              <a:ext cx="131445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400" b="1" cap="none" spc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I</a:t>
              </a:r>
              <a:r>
                <a:rPr lang="pt-BR" sz="1200" b="1" cap="none" spc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MPOSTO</a:t>
              </a:r>
              <a:endParaRPr lang="pt-BR" sz="1400" b="1" cap="none" spc="0" baseline="0">
                <a:ln w="0">
                  <a:noFill/>
                </a:ln>
                <a:gradFill flip="none" rotWithShape="1">
                  <a:gsLst>
                    <a:gs pos="0">
                      <a:srgbClr val="00486E">
                        <a:shade val="30000"/>
                        <a:satMod val="115000"/>
                      </a:srgbClr>
                    </a:gs>
                    <a:gs pos="50000">
                      <a:srgbClr val="00486E">
                        <a:shade val="67500"/>
                        <a:satMod val="115000"/>
                      </a:srgbClr>
                    </a:gs>
                    <a:gs pos="100000">
                      <a:srgbClr val="00486E">
                        <a:shade val="100000"/>
                        <a:satMod val="115000"/>
                      </a:srgbClr>
                    </a:gs>
                  </a:gsLst>
                  <a:lin ang="10800000" scaled="1"/>
                  <a:tileRect/>
                </a:gra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endParaRPr>
            </a:p>
            <a:p>
              <a:pPr algn="ctr"/>
              <a:r>
                <a:rPr lang="pt-BR" sz="12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DE</a:t>
              </a:r>
              <a:r>
                <a:rPr lang="pt-BR" sz="14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 R</a:t>
              </a:r>
              <a:r>
                <a:rPr lang="pt-BR" sz="12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ENDA</a:t>
              </a:r>
              <a:endParaRPr lang="pt-BR" sz="1400" b="1" cap="none" spc="0">
                <a:ln w="0">
                  <a:noFill/>
                </a:ln>
                <a:gradFill flip="none" rotWithShape="1">
                  <a:gsLst>
                    <a:gs pos="0">
                      <a:srgbClr val="00486E">
                        <a:shade val="30000"/>
                        <a:satMod val="115000"/>
                      </a:srgbClr>
                    </a:gs>
                    <a:gs pos="50000">
                      <a:srgbClr val="00486E">
                        <a:shade val="67500"/>
                        <a:satMod val="115000"/>
                      </a:srgbClr>
                    </a:gs>
                    <a:gs pos="100000">
                      <a:srgbClr val="00486E">
                        <a:shade val="100000"/>
                        <a:satMod val="115000"/>
                      </a:srgbClr>
                    </a:gs>
                  </a:gsLst>
                  <a:lin ang="10800000" scaled="1"/>
                  <a:tileRect/>
                </a:gra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13" name="Imagem 12" descr="Grupo Nova Cont">
              <a:extLst>
                <a:ext uri="{FF2B5EF4-FFF2-40B4-BE49-F238E27FC236}">
                  <a16:creationId xmlns:a16="http://schemas.microsoft.com/office/drawing/2014/main" id="{7F9D01D4-3EBC-178C-6182-7D018984C86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colorTemperature colorTemp="8800"/>
                      </a14:imgEffect>
                      <a14:imgEffect>
                        <a14:saturation sat="3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90651" y="276225"/>
              <a:ext cx="565452" cy="6477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F0D1367A-5D8B-47AE-9EC5-342BC69448D0}"/>
              </a:ext>
            </a:extLst>
          </xdr:cNvPr>
          <xdr:cNvGrpSpPr/>
        </xdr:nvGrpSpPr>
        <xdr:grpSpPr>
          <a:xfrm>
            <a:off x="184238" y="1219198"/>
            <a:ext cx="1908000" cy="1771652"/>
            <a:chOff x="174713" y="1219198"/>
            <a:chExt cx="1908000" cy="1771652"/>
          </a:xfrm>
        </xdr:grpSpPr>
        <xdr:sp macro="" textlink="">
          <xdr:nvSpPr>
            <xdr:cNvPr id="9" name="CaixaDeTexto 8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969685BF-FB2F-06C4-3EA1-F33383618AE6}"/>
                </a:ext>
              </a:extLst>
            </xdr:cNvPr>
            <xdr:cNvSpPr txBox="1"/>
          </xdr:nvSpPr>
          <xdr:spPr>
            <a:xfrm>
              <a:off x="174713" y="1219198"/>
              <a:ext cx="1908000" cy="466727"/>
            </a:xfrm>
            <a:prstGeom prst="roundRect">
              <a:avLst>
                <a:gd name="adj" fmla="val 37075"/>
              </a:avLst>
            </a:prstGeom>
            <a:solidFill>
              <a:schemeClr val="tx2">
                <a:lumMod val="60000"/>
                <a:lumOff val="40000"/>
              </a:schemeClr>
            </a:solidFill>
            <a:ln w="9525" cmpd="sng">
              <a:solidFill>
                <a:srgbClr val="00486E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</a:t>
              </a:r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ITULAR</a:t>
              </a:r>
            </a:p>
          </xdr:txBody>
        </xdr:sp>
        <xdr:sp macro="" textlink="">
          <xdr:nvSpPr>
            <xdr:cNvPr id="10" name="CaixaDeTexto 9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B7F25954-C1F7-F90D-9B28-729DC767F481}"/>
                </a:ext>
              </a:extLst>
            </xdr:cNvPr>
            <xdr:cNvSpPr txBox="1"/>
          </xdr:nvSpPr>
          <xdr:spPr>
            <a:xfrm>
              <a:off x="174713" y="1871660"/>
              <a:ext cx="1908000" cy="466727"/>
            </a:xfrm>
            <a:prstGeom prst="roundRect">
              <a:avLst>
                <a:gd name="adj" fmla="val 37075"/>
              </a:avLst>
            </a:prstGeom>
            <a:solidFill>
              <a:schemeClr val="tx2">
                <a:lumMod val="60000"/>
                <a:lumOff val="40000"/>
              </a:schemeClr>
            </a:solidFill>
            <a:ln w="9525" cmpd="sng">
              <a:solidFill>
                <a:srgbClr val="00486E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I</a:t>
              </a:r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NFORMES</a:t>
              </a:r>
            </a:p>
          </xdr:txBody>
        </xdr:sp>
        <xdr:sp macro="" textlink="">
          <xdr:nvSpPr>
            <xdr:cNvPr id="11" name="CaixaDeTexto 10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48D38474-290D-EDB7-6900-2A207E3BE5C8}"/>
                </a:ext>
              </a:extLst>
            </xdr:cNvPr>
            <xdr:cNvSpPr txBox="1"/>
          </xdr:nvSpPr>
          <xdr:spPr>
            <a:xfrm>
              <a:off x="174713" y="2524123"/>
              <a:ext cx="1908000" cy="466727"/>
            </a:xfrm>
            <a:prstGeom prst="roundRect">
              <a:avLst>
                <a:gd name="adj" fmla="val 37075"/>
              </a:avLst>
            </a:prstGeom>
            <a:gradFill>
              <a:gsLst>
                <a:gs pos="49000">
                  <a:srgbClr val="00486E"/>
                </a:gs>
                <a:gs pos="100000">
                  <a:schemeClr val="tx2"/>
                </a:gs>
              </a:gsLst>
              <a:lin ang="0" scaled="1"/>
            </a:gradFill>
            <a:ln w="9525" cmpd="sng">
              <a:solidFill>
                <a:srgbClr val="00486E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N</a:t>
              </a:r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OTAS</a:t>
              </a:r>
            </a:p>
          </xdr:txBody>
        </xdr:sp>
      </xdr:grpSp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81D6757-C7AD-D318-20BF-66B6DE32D213}"/>
              </a:ext>
            </a:extLst>
          </xdr:cNvPr>
          <xdr:cNvGrpSpPr/>
        </xdr:nvGrpSpPr>
        <xdr:grpSpPr>
          <a:xfrm>
            <a:off x="200026" y="3343275"/>
            <a:ext cx="1876424" cy="676275"/>
            <a:chOff x="180976" y="3343275"/>
            <a:chExt cx="1876424" cy="676275"/>
          </a:xfrm>
        </xdr:grpSpPr>
        <xdr:cxnSp macro="">
          <xdr:nvCxnSpPr>
            <xdr:cNvPr id="7" name="Conector reto 6">
              <a:extLst>
                <a:ext uri="{FF2B5EF4-FFF2-40B4-BE49-F238E27FC236}">
                  <a16:creationId xmlns:a16="http://schemas.microsoft.com/office/drawing/2014/main" id="{10E20D08-2E5A-4CEB-91E1-32BE8A4F2AB1}"/>
                </a:ext>
              </a:extLst>
            </xdr:cNvPr>
            <xdr:cNvCxnSpPr/>
          </xdr:nvCxnSpPr>
          <xdr:spPr>
            <a:xfrm>
              <a:off x="266701" y="3343275"/>
              <a:ext cx="1704975" cy="0"/>
            </a:xfrm>
            <a:prstGeom prst="line">
              <a:avLst/>
            </a:prstGeom>
            <a:ln w="38100">
              <a:gradFill flip="none" rotWithShape="1">
                <a:gsLst>
                  <a:gs pos="50000">
                    <a:schemeClr val="accent1">
                      <a:lumMod val="5000"/>
                      <a:lumOff val="95000"/>
                    </a:schemeClr>
                  </a:gs>
                  <a:gs pos="7000">
                    <a:srgbClr val="00486E"/>
                  </a:gs>
                  <a:gs pos="93000">
                    <a:srgbClr val="00486E"/>
                  </a:gs>
                </a:gsLst>
                <a:lin ang="0" scaled="1"/>
                <a:tileRect/>
              </a:gra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48297C25-3D9A-0357-63F3-EBA738880052}"/>
                </a:ext>
              </a:extLst>
            </xdr:cNvPr>
            <xdr:cNvSpPr txBox="1"/>
          </xdr:nvSpPr>
          <xdr:spPr>
            <a:xfrm>
              <a:off x="180976" y="3448050"/>
              <a:ext cx="1876424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18000" tIns="18000" rIns="18000" bIns="18000" rtlCol="0" anchor="ctr"/>
            <a:lstStyle/>
            <a:p>
              <a:pPr algn="ctr"/>
              <a:r>
                <a:rPr lang="pt-BR" sz="1400" b="1" cap="none" spc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S</a:t>
              </a:r>
              <a:r>
                <a:rPr lang="pt-BR" sz="1200" b="1" cap="none" spc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YSTEM </a:t>
              </a:r>
              <a:r>
                <a:rPr lang="pt-BR" sz="12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BY</a:t>
              </a:r>
              <a:r>
                <a:rPr lang="pt-BR" sz="14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 C</a:t>
              </a:r>
              <a:r>
                <a:rPr lang="pt-BR" sz="1200" b="1" cap="none" spc="0" baseline="0">
                  <a:ln w="0">
                    <a:noFill/>
                  </a:ln>
                  <a:gradFill flip="none" rotWithShape="1">
                    <a:gsLst>
                      <a:gs pos="0">
                        <a:srgbClr val="00486E">
                          <a:shade val="30000"/>
                          <a:satMod val="115000"/>
                        </a:srgbClr>
                      </a:gs>
                      <a:gs pos="50000">
                        <a:srgbClr val="00486E">
                          <a:shade val="67500"/>
                          <a:satMod val="115000"/>
                        </a:srgbClr>
                      </a:gs>
                      <a:gs pos="100000">
                        <a:srgbClr val="00486E">
                          <a:shade val="100000"/>
                          <a:satMod val="115000"/>
                        </a:srgbClr>
                      </a:gs>
                    </a:gsLst>
                    <a:lin ang="10800000" scaled="1"/>
                    <a:tileRect/>
                  </a:gra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Segoe UI" panose="020B0502040204020203" pitchFamily="34" charset="0"/>
                  <a:cs typeface="Segoe UI" panose="020B0502040204020203" pitchFamily="34" charset="0"/>
                </a:rPr>
                <a:t>ARLO</a:t>
              </a:r>
              <a:endParaRPr lang="pt-BR" sz="1400" b="1" cap="none" spc="0">
                <a:ln w="0">
                  <a:noFill/>
                </a:ln>
                <a:gradFill flip="none" rotWithShape="1">
                  <a:gsLst>
                    <a:gs pos="0">
                      <a:srgbClr val="00486E">
                        <a:shade val="30000"/>
                        <a:satMod val="115000"/>
                      </a:srgbClr>
                    </a:gs>
                    <a:gs pos="50000">
                      <a:srgbClr val="00486E">
                        <a:shade val="67500"/>
                        <a:satMod val="115000"/>
                      </a:srgbClr>
                    </a:gs>
                    <a:gs pos="100000">
                      <a:srgbClr val="00486E">
                        <a:shade val="100000"/>
                        <a:satMod val="115000"/>
                      </a:srgbClr>
                    </a:gs>
                  </a:gsLst>
                  <a:lin ang="10800000" scaled="1"/>
                  <a:tileRect/>
                </a:gra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3</xdr:col>
      <xdr:colOff>0</xdr:colOff>
      <xdr:row>24</xdr:row>
      <xdr:rowOff>38100</xdr:rowOff>
    </xdr:from>
    <xdr:to>
      <xdr:col>3</xdr:col>
      <xdr:colOff>1543049</xdr:colOff>
      <xdr:row>26</xdr:row>
      <xdr:rowOff>0</xdr:rowOff>
    </xdr:to>
    <xdr:grpSp>
      <xdr:nvGrpSpPr>
        <xdr:cNvPr id="17" name="Agrupar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9D7A47-41B9-4234-A8ED-53360D8B6A30}"/>
            </a:ext>
          </a:extLst>
        </xdr:cNvPr>
        <xdr:cNvGrpSpPr/>
      </xdr:nvGrpSpPr>
      <xdr:grpSpPr>
        <a:xfrm flipH="1">
          <a:off x="2343150" y="4714875"/>
          <a:ext cx="1543049" cy="323850"/>
          <a:chOff x="6562725" y="4200525"/>
          <a:chExt cx="1543049" cy="323850"/>
        </a:xfrm>
      </xdr:grpSpPr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3E58DF19-09FE-CBA5-E7D1-68268A9BBF66}"/>
              </a:ext>
            </a:extLst>
          </xdr:cNvPr>
          <xdr:cNvSpPr txBox="1"/>
        </xdr:nvSpPr>
        <xdr:spPr>
          <a:xfrm>
            <a:off x="6562725" y="4200525"/>
            <a:ext cx="1543049" cy="323850"/>
          </a:xfrm>
          <a:prstGeom prst="rect">
            <a:avLst/>
          </a:prstGeom>
          <a:solidFill>
            <a:schemeClr val="tx2">
              <a:lumMod val="75000"/>
            </a:schemeClr>
          </a:solidFill>
          <a:ln w="9525" cmpd="sng">
            <a:solidFill>
              <a:schemeClr val="tx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pt-BR" sz="1400" b="1">
                <a:solidFill>
                  <a:schemeClr val="bg1"/>
                </a:solidFill>
              </a:rPr>
              <a:t>Anterior</a:t>
            </a:r>
          </a:p>
        </xdr:txBody>
      </xdr:sp>
      <xdr:cxnSp macro="">
        <xdr:nvCxnSpPr>
          <xdr:cNvPr id="19" name="Conector de Seta Reta 18">
            <a:extLst>
              <a:ext uri="{FF2B5EF4-FFF2-40B4-BE49-F238E27FC236}">
                <a16:creationId xmlns:a16="http://schemas.microsoft.com/office/drawing/2014/main" id="{DB1654A3-A601-8AF2-33DC-2B6BBBB2B293}"/>
              </a:ext>
            </a:extLst>
          </xdr:cNvPr>
          <xdr:cNvCxnSpPr/>
        </xdr:nvCxnSpPr>
        <xdr:spPr>
          <a:xfrm>
            <a:off x="7391400" y="4362450"/>
            <a:ext cx="609600" cy="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7AF70F-0C16-4B57-ABFF-8BDA2D88DD25}" name="Tabela1" displayName="Tabela1" ref="D7:F23" totalsRowShown="0" headerRowDxfId="6" dataDxfId="0" headerRowBorderDxfId="4" tableBorderDxfId="5">
  <autoFilter ref="D7:F23" xr:uid="{6F7AF70F-0C16-4B57-ABFF-8BDA2D88DD25}"/>
  <tableColumns count="3">
    <tableColumn id="1" xr3:uid="{C11EC537-B436-42A5-8AC4-697CED610BB5}" name="DATA" dataDxfId="3"/>
    <tableColumn id="2" xr3:uid="{3EE3948B-8556-4362-A6F0-7FAF891FA01D}" name="CATEGORIA" dataDxfId="2"/>
    <tableColumn id="3" xr3:uid="{87F2E11E-25CE-4541-95D8-B946C0C2C546}" name="VALOR" dataDxfId="1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E145-6C2F-48D8-9755-D487A417BD1D}">
  <sheetPr codeName="Planilha1"/>
  <dimension ref="D1:F28"/>
  <sheetViews>
    <sheetView showGridLines="0" showRowColHeaders="0" tabSelected="1" workbookViewId="0">
      <selection activeCell="E7" sqref="E7"/>
    </sheetView>
  </sheetViews>
  <sheetFormatPr defaultRowHeight="14.25" x14ac:dyDescent="0.25"/>
  <cols>
    <col min="1" max="1" width="1.7109375" customWidth="1"/>
    <col min="2" max="2" width="30.7109375" customWidth="1"/>
    <col min="3" max="3" width="2.7109375" customWidth="1"/>
    <col min="4" max="4" width="41.7109375" customWidth="1"/>
    <col min="5" max="5" width="38.7109375" customWidth="1"/>
    <col min="6" max="6" width="5.7109375" customWidth="1"/>
  </cols>
  <sheetData>
    <row r="1" spans="4:6" ht="9.9499999999999993" customHeight="1" x14ac:dyDescent="0.25"/>
    <row r="2" spans="4:6" ht="35.1" customHeight="1" x14ac:dyDescent="0.25"/>
    <row r="3" spans="4:6" ht="24.6" customHeight="1" thickBot="1" x14ac:dyDescent="0.3">
      <c r="D3" s="4" t="s">
        <v>13</v>
      </c>
      <c r="E3" s="4"/>
      <c r="F3" s="4"/>
    </row>
    <row r="4" spans="4:6" ht="15" customHeight="1" thickTop="1" x14ac:dyDescent="0.25">
      <c r="D4" s="6" t="s">
        <v>14</v>
      </c>
      <c r="E4" s="5"/>
      <c r="F4" s="5"/>
    </row>
    <row r="5" spans="4:6" ht="14.25" customHeight="1" x14ac:dyDescent="0.25"/>
    <row r="6" spans="4:6" ht="14.25" customHeight="1" thickBot="1" x14ac:dyDescent="0.3"/>
    <row r="7" spans="4:6" ht="14.25" customHeight="1" x14ac:dyDescent="0.25">
      <c r="D7" s="1" t="s">
        <v>0</v>
      </c>
      <c r="E7" s="22" t="s">
        <v>17</v>
      </c>
    </row>
    <row r="8" spans="4:6" ht="14.25" customHeight="1" x14ac:dyDescent="0.25">
      <c r="D8" s="2" t="s">
        <v>1</v>
      </c>
      <c r="E8" s="23">
        <v>12345678900</v>
      </c>
    </row>
    <row r="9" spans="4:6" ht="14.25" customHeight="1" x14ac:dyDescent="0.25">
      <c r="D9" s="2" t="s">
        <v>22</v>
      </c>
      <c r="E9" s="24">
        <v>123412341234</v>
      </c>
    </row>
    <row r="10" spans="4:6" ht="14.25" customHeight="1" x14ac:dyDescent="0.25">
      <c r="D10" s="2" t="s">
        <v>2</v>
      </c>
      <c r="E10" s="25">
        <v>32328</v>
      </c>
    </row>
    <row r="11" spans="4:6" ht="14.25" customHeight="1" x14ac:dyDescent="0.25">
      <c r="D11" s="2" t="s">
        <v>3</v>
      </c>
      <c r="E11" s="26" t="s">
        <v>18</v>
      </c>
    </row>
    <row r="12" spans="4:6" ht="14.25" customHeight="1" x14ac:dyDescent="0.25">
      <c r="D12" s="2" t="s">
        <v>4</v>
      </c>
      <c r="E12" s="26" t="s">
        <v>19</v>
      </c>
    </row>
    <row r="13" spans="4:6" ht="14.25" customHeight="1" x14ac:dyDescent="0.25">
      <c r="D13" s="2" t="s">
        <v>5</v>
      </c>
      <c r="E13" s="26" t="s">
        <v>19</v>
      </c>
    </row>
    <row r="14" spans="4:6" ht="14.25" customHeight="1" x14ac:dyDescent="0.25">
      <c r="D14" s="2" t="s">
        <v>6</v>
      </c>
      <c r="E14" s="26" t="s">
        <v>20</v>
      </c>
    </row>
    <row r="15" spans="4:6" ht="14.25" customHeight="1" x14ac:dyDescent="0.25">
      <c r="D15" s="2" t="s">
        <v>7</v>
      </c>
      <c r="E15" s="27">
        <v>8432223322</v>
      </c>
    </row>
    <row r="16" spans="4:6" ht="14.25" customHeight="1" x14ac:dyDescent="0.25">
      <c r="D16" s="2" t="s">
        <v>8</v>
      </c>
      <c r="E16" s="28">
        <v>84999887766</v>
      </c>
    </row>
    <row r="17" spans="4:5" ht="14.25" customHeight="1" x14ac:dyDescent="0.25">
      <c r="D17" s="2" t="s">
        <v>9</v>
      </c>
      <c r="E17" s="28" t="s">
        <v>21</v>
      </c>
    </row>
    <row r="18" spans="4:5" ht="14.25" customHeight="1" x14ac:dyDescent="0.25">
      <c r="D18" s="2" t="s">
        <v>10</v>
      </c>
      <c r="E18" s="26" t="s">
        <v>16</v>
      </c>
    </row>
    <row r="19" spans="4:5" ht="14.25" customHeight="1" x14ac:dyDescent="0.25">
      <c r="D19" s="2" t="s">
        <v>11</v>
      </c>
      <c r="E19" s="26" t="s">
        <v>15</v>
      </c>
    </row>
    <row r="20" spans="4:5" ht="14.25" customHeight="1" thickBot="1" x14ac:dyDescent="0.3">
      <c r="D20" s="3" t="s">
        <v>12</v>
      </c>
      <c r="E20" s="29" t="s">
        <v>15</v>
      </c>
    </row>
    <row r="21" spans="4:5" ht="14.25" customHeight="1" x14ac:dyDescent="0.25"/>
    <row r="22" spans="4:5" ht="14.25" customHeight="1" x14ac:dyDescent="0.25"/>
    <row r="23" spans="4:5" ht="14.25" customHeight="1" x14ac:dyDescent="0.25"/>
    <row r="24" spans="4:5" ht="14.25" customHeight="1" x14ac:dyDescent="0.25"/>
    <row r="25" spans="4:5" ht="14.25" customHeight="1" x14ac:dyDescent="0.25"/>
    <row r="26" spans="4:5" ht="14.25" customHeight="1" x14ac:dyDescent="0.25"/>
    <row r="27" spans="4:5" ht="14.25" customHeight="1" x14ac:dyDescent="0.25"/>
    <row r="28" spans="4:5" ht="14.25" customHeight="1" x14ac:dyDescent="0.25"/>
  </sheetData>
  <sheetProtection sheet="1" objects="1" scenarios="1" selectLockedCells="1"/>
  <dataValidations count="1">
    <dataValidation type="list" allowBlank="1" showInputMessage="1" showErrorMessage="1" sqref="E18:E20" xr:uid="{09EF2C87-396C-4419-BE41-FE216549E5C8}">
      <formula1>"Sim, 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B1F1-ABF2-4371-AB4D-689183F729AD}">
  <dimension ref="D1:F28"/>
  <sheetViews>
    <sheetView showGridLines="0" showRowColHeaders="0" workbookViewId="0">
      <selection activeCell="E11" sqref="E11"/>
    </sheetView>
  </sheetViews>
  <sheetFormatPr defaultRowHeight="14.25" x14ac:dyDescent="0.25"/>
  <cols>
    <col min="1" max="1" width="1.7109375" customWidth="1"/>
    <col min="2" max="2" width="30.7109375" customWidth="1"/>
    <col min="3" max="3" width="2.7109375" customWidth="1"/>
    <col min="4" max="4" width="41.7109375" customWidth="1"/>
    <col min="5" max="5" width="38.7109375" customWidth="1"/>
    <col min="6" max="6" width="5.7109375" customWidth="1"/>
  </cols>
  <sheetData>
    <row r="1" spans="4:6" ht="9.9499999999999993" customHeight="1" x14ac:dyDescent="0.25"/>
    <row r="2" spans="4:6" ht="35.1" customHeight="1" x14ac:dyDescent="0.25"/>
    <row r="3" spans="4:6" ht="24.6" customHeight="1" thickBot="1" x14ac:dyDescent="0.3">
      <c r="D3" s="4" t="s">
        <v>23</v>
      </c>
      <c r="E3" s="4"/>
      <c r="F3" s="4"/>
    </row>
    <row r="4" spans="4:6" ht="15" customHeight="1" thickTop="1" x14ac:dyDescent="0.25">
      <c r="D4" s="6" t="s">
        <v>24</v>
      </c>
      <c r="E4" s="5"/>
      <c r="F4" s="5"/>
    </row>
    <row r="5" spans="4:6" ht="14.25" customHeight="1" x14ac:dyDescent="0.25"/>
    <row r="6" spans="4:6" ht="14.25" customHeight="1" x14ac:dyDescent="0.25">
      <c r="D6" s="15" t="s">
        <v>87</v>
      </c>
      <c r="E6" s="15"/>
    </row>
    <row r="7" spans="4:6" ht="14.25" customHeight="1" x14ac:dyDescent="0.25">
      <c r="D7" s="16">
        <f>SUBTOTAL(109, E11,E16,E21)</f>
        <v>693000</v>
      </c>
      <c r="E7" s="16"/>
    </row>
    <row r="8" spans="4:6" ht="14.25" customHeight="1" x14ac:dyDescent="0.25"/>
    <row r="9" spans="4:6" ht="14.25" customHeight="1" thickBot="1" x14ac:dyDescent="0.3">
      <c r="D9" s="14" t="s">
        <v>84</v>
      </c>
    </row>
    <row r="10" spans="4:6" ht="14.25" customHeight="1" x14ac:dyDescent="0.25">
      <c r="D10" s="1" t="s">
        <v>25</v>
      </c>
      <c r="E10" s="22" t="s">
        <v>30</v>
      </c>
    </row>
    <row r="11" spans="4:6" ht="14.25" customHeight="1" x14ac:dyDescent="0.25">
      <c r="D11" s="2" t="s">
        <v>26</v>
      </c>
      <c r="E11" s="30">
        <v>512000</v>
      </c>
    </row>
    <row r="12" spans="4:6" ht="14.25" customHeight="1" thickBot="1" x14ac:dyDescent="0.3">
      <c r="D12" s="3" t="s">
        <v>27</v>
      </c>
      <c r="E12" s="29" t="s">
        <v>89</v>
      </c>
    </row>
    <row r="13" spans="4:6" ht="14.25" customHeight="1" x14ac:dyDescent="0.25">
      <c r="D13" s="11"/>
      <c r="E13" s="12"/>
    </row>
    <row r="14" spans="4:6" ht="14.25" customHeight="1" thickBot="1" x14ac:dyDescent="0.3">
      <c r="D14" s="14" t="s">
        <v>85</v>
      </c>
    </row>
    <row r="15" spans="4:6" ht="14.25" customHeight="1" x14ac:dyDescent="0.25">
      <c r="D15" s="1" t="s">
        <v>25</v>
      </c>
      <c r="E15" s="22" t="s">
        <v>28</v>
      </c>
    </row>
    <row r="16" spans="4:6" ht="14.25" customHeight="1" x14ac:dyDescent="0.25">
      <c r="D16" s="2" t="s">
        <v>26</v>
      </c>
      <c r="E16" s="30">
        <v>123000</v>
      </c>
    </row>
    <row r="17" spans="4:5" ht="14.25" customHeight="1" thickBot="1" x14ac:dyDescent="0.3">
      <c r="D17" s="3" t="s">
        <v>27</v>
      </c>
      <c r="E17" s="29" t="s">
        <v>88</v>
      </c>
    </row>
    <row r="18" spans="4:5" ht="14.25" customHeight="1" x14ac:dyDescent="0.25">
      <c r="D18" s="11"/>
      <c r="E18" s="13"/>
    </row>
    <row r="19" spans="4:5" ht="14.25" customHeight="1" thickBot="1" x14ac:dyDescent="0.3">
      <c r="D19" s="14" t="s">
        <v>86</v>
      </c>
    </row>
    <row r="20" spans="4:5" ht="14.25" customHeight="1" x14ac:dyDescent="0.25">
      <c r="D20" s="1" t="s">
        <v>25</v>
      </c>
      <c r="E20" s="22" t="s">
        <v>29</v>
      </c>
    </row>
    <row r="21" spans="4:5" ht="14.25" customHeight="1" x14ac:dyDescent="0.25">
      <c r="D21" s="2" t="s">
        <v>26</v>
      </c>
      <c r="E21" s="30">
        <v>58000</v>
      </c>
    </row>
    <row r="22" spans="4:5" ht="14.25" customHeight="1" thickBot="1" x14ac:dyDescent="0.3">
      <c r="D22" s="3" t="s">
        <v>27</v>
      </c>
      <c r="E22" s="29" t="s">
        <v>90</v>
      </c>
    </row>
    <row r="23" spans="4:5" ht="14.25" customHeight="1" x14ac:dyDescent="0.25"/>
    <row r="24" spans="4:5" ht="14.25" customHeight="1" x14ac:dyDescent="0.25"/>
    <row r="25" spans="4:5" ht="14.25" customHeight="1" x14ac:dyDescent="0.25"/>
    <row r="26" spans="4:5" ht="14.25" customHeight="1" x14ac:dyDescent="0.25"/>
    <row r="27" spans="4:5" ht="14.25" customHeight="1" x14ac:dyDescent="0.25"/>
    <row r="28" spans="4:5" ht="14.25" customHeight="1" x14ac:dyDescent="0.25"/>
  </sheetData>
  <sheetProtection sheet="1" objects="1" scenarios="1" selectLockedCells="1"/>
  <dataValidations count="1">
    <dataValidation type="list" allowBlank="1" showInputMessage="1" showErrorMessage="1" errorTitle="Banco não encontrado" error="Informe um banco da lista." promptTitle="Selecione um banco" prompt="Informe um banco vinculado ao seu CPF." sqref="E10 E15 E20" xr:uid="{7AB3FE81-BE84-4FB4-9367-525AFC928BC0}">
      <formula1>V_Bancos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BBC8-15D1-4FF0-8E79-B37E15D7F1D0}">
  <dimension ref="D1:F28"/>
  <sheetViews>
    <sheetView showGridLines="0" showRowColHeaders="0" workbookViewId="0">
      <selection activeCell="D8" sqref="D8"/>
    </sheetView>
  </sheetViews>
  <sheetFormatPr defaultRowHeight="14.25" x14ac:dyDescent="0.25"/>
  <cols>
    <col min="1" max="1" width="1.7109375" customWidth="1"/>
    <col min="2" max="2" width="30.7109375" customWidth="1"/>
    <col min="3" max="3" width="2.7109375" customWidth="1"/>
    <col min="4" max="6" width="27" customWidth="1"/>
  </cols>
  <sheetData>
    <row r="1" spans="4:6" ht="9.9499999999999993" customHeight="1" x14ac:dyDescent="0.25"/>
    <row r="2" spans="4:6" ht="35.1" customHeight="1" x14ac:dyDescent="0.25"/>
    <row r="3" spans="4:6" ht="24.6" customHeight="1" thickBot="1" x14ac:dyDescent="0.3">
      <c r="D3" s="4" t="s">
        <v>91</v>
      </c>
      <c r="E3" s="4"/>
      <c r="F3" s="4"/>
    </row>
    <row r="4" spans="4:6" ht="15" customHeight="1" thickTop="1" x14ac:dyDescent="0.25">
      <c r="D4" s="6" t="s">
        <v>24</v>
      </c>
      <c r="E4" s="5"/>
      <c r="F4" s="5"/>
    </row>
    <row r="5" spans="4:6" ht="14.25" customHeight="1" thickBot="1" x14ac:dyDescent="0.3"/>
    <row r="6" spans="4:6" ht="14.25" customHeight="1" thickBot="1" x14ac:dyDescent="0.3">
      <c r="D6" s="19" t="s">
        <v>92</v>
      </c>
      <c r="E6" s="20"/>
      <c r="F6" s="21"/>
    </row>
    <row r="7" spans="4:6" ht="14.25" customHeight="1" thickBot="1" x14ac:dyDescent="0.3">
      <c r="D7" s="17" t="s">
        <v>93</v>
      </c>
      <c r="E7" s="17" t="s">
        <v>94</v>
      </c>
      <c r="F7" s="18" t="s">
        <v>95</v>
      </c>
    </row>
    <row r="8" spans="4:6" ht="14.25" customHeight="1" x14ac:dyDescent="0.25">
      <c r="D8" s="31"/>
      <c r="E8" s="32"/>
      <c r="F8" s="33"/>
    </row>
    <row r="9" spans="4:6" ht="14.25" customHeight="1" x14ac:dyDescent="0.25">
      <c r="D9" s="31"/>
      <c r="E9" s="34"/>
      <c r="F9" s="33"/>
    </row>
    <row r="10" spans="4:6" ht="14.25" customHeight="1" x14ac:dyDescent="0.25">
      <c r="D10" s="31"/>
      <c r="E10" s="35"/>
      <c r="F10" s="33"/>
    </row>
    <row r="11" spans="4:6" ht="14.25" customHeight="1" x14ac:dyDescent="0.25">
      <c r="D11" s="31"/>
      <c r="E11" s="36"/>
      <c r="F11" s="33"/>
    </row>
    <row r="12" spans="4:6" ht="14.25" customHeight="1" x14ac:dyDescent="0.25">
      <c r="D12" s="31"/>
      <c r="E12" s="36"/>
      <c r="F12" s="33"/>
    </row>
    <row r="13" spans="4:6" ht="14.25" customHeight="1" x14ac:dyDescent="0.25">
      <c r="D13" s="31"/>
      <c r="E13" s="36"/>
      <c r="F13" s="33"/>
    </row>
    <row r="14" spans="4:6" ht="14.25" customHeight="1" x14ac:dyDescent="0.25">
      <c r="D14" s="31"/>
      <c r="E14" s="36"/>
      <c r="F14" s="33"/>
    </row>
    <row r="15" spans="4:6" ht="14.25" customHeight="1" x14ac:dyDescent="0.25">
      <c r="D15" s="31"/>
      <c r="E15" s="37"/>
      <c r="F15" s="33"/>
    </row>
    <row r="16" spans="4:6" ht="14.25" customHeight="1" x14ac:dyDescent="0.25">
      <c r="D16" s="31"/>
      <c r="E16" s="38"/>
      <c r="F16" s="33"/>
    </row>
    <row r="17" spans="4:6" ht="14.25" customHeight="1" x14ac:dyDescent="0.25">
      <c r="D17" s="31"/>
      <c r="E17" s="38"/>
      <c r="F17" s="33"/>
    </row>
    <row r="18" spans="4:6" ht="14.25" customHeight="1" x14ac:dyDescent="0.25">
      <c r="D18" s="31"/>
      <c r="E18" s="36"/>
      <c r="F18" s="33"/>
    </row>
    <row r="19" spans="4:6" ht="14.25" customHeight="1" x14ac:dyDescent="0.25">
      <c r="D19" s="31"/>
      <c r="E19" s="36"/>
      <c r="F19" s="33"/>
    </row>
    <row r="20" spans="4:6" ht="14.25" customHeight="1" x14ac:dyDescent="0.25">
      <c r="D20" s="31"/>
      <c r="E20" s="36"/>
      <c r="F20" s="33"/>
    </row>
    <row r="21" spans="4:6" ht="14.25" customHeight="1" x14ac:dyDescent="0.25">
      <c r="D21" s="31"/>
      <c r="E21" s="36"/>
      <c r="F21" s="33"/>
    </row>
    <row r="22" spans="4:6" ht="14.25" customHeight="1" x14ac:dyDescent="0.25">
      <c r="D22" s="31"/>
      <c r="E22" s="36"/>
      <c r="F22" s="33"/>
    </row>
    <row r="23" spans="4:6" ht="14.25" customHeight="1" x14ac:dyDescent="0.25">
      <c r="D23" s="31"/>
      <c r="E23" s="36"/>
      <c r="F23" s="33"/>
    </row>
    <row r="24" spans="4:6" ht="14.25" customHeight="1" x14ac:dyDescent="0.25"/>
    <row r="25" spans="4:6" ht="14.25" customHeight="1" x14ac:dyDescent="0.25"/>
    <row r="26" spans="4:6" ht="14.25" customHeight="1" x14ac:dyDescent="0.25"/>
    <row r="27" spans="4:6" ht="14.25" customHeight="1" x14ac:dyDescent="0.25"/>
    <row r="28" spans="4:6" ht="14.25" customHeight="1" x14ac:dyDescent="0.25"/>
  </sheetData>
  <sheetProtection sheet="1" objects="1" scenarios="1" selectLockedCells="1"/>
  <dataValidations count="1">
    <dataValidation type="list" allowBlank="1" showInputMessage="1" showErrorMessage="1" sqref="E8:E23" xr:uid="{04870A76-9102-4F20-930E-ABA9E7880D6C}">
      <formula1>"Holerite, CNPJ, 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6A54-D1C4-44D3-81D9-8E7B426CD3FB}">
  <dimension ref="A1:C51"/>
  <sheetViews>
    <sheetView workbookViewId="0">
      <selection activeCell="B12" sqref="B12"/>
    </sheetView>
  </sheetViews>
  <sheetFormatPr defaultRowHeight="15" x14ac:dyDescent="0.25"/>
  <cols>
    <col min="1" max="1" width="13.5703125" style="10" customWidth="1"/>
    <col min="2" max="2" width="36.5703125" style="9" bestFit="1" customWidth="1"/>
    <col min="3" max="3" width="40.28515625" style="7" bestFit="1" customWidth="1"/>
    <col min="4" max="16384" width="9.140625" style="7"/>
  </cols>
  <sheetData>
    <row r="1" spans="1:3" ht="15.75" thickBot="1" x14ac:dyDescent="0.3">
      <c r="A1" s="8" t="s">
        <v>81</v>
      </c>
      <c r="B1" s="8" t="s">
        <v>82</v>
      </c>
      <c r="C1" s="8" t="s">
        <v>83</v>
      </c>
    </row>
    <row r="2" spans="1:3" x14ac:dyDescent="0.25">
      <c r="A2" s="10">
        <v>1</v>
      </c>
      <c r="B2" s="9" t="s">
        <v>31</v>
      </c>
      <c r="C2" s="9" t="str">
        <f>_xlfn.CONCAT(A2, " - ", B2)</f>
        <v>1 - Banco do Brasil</v>
      </c>
    </row>
    <row r="3" spans="1:3" x14ac:dyDescent="0.25">
      <c r="A3" s="10">
        <v>102</v>
      </c>
      <c r="B3" s="9" t="s">
        <v>32</v>
      </c>
      <c r="C3" s="9" t="str">
        <f t="shared" ref="C3:C51" si="0">_xlfn.CONCAT(A3, " - ", B3)</f>
        <v>102 - XP Investimentos CCTVM S.A.</v>
      </c>
    </row>
    <row r="4" spans="1:3" x14ac:dyDescent="0.25">
      <c r="A4" s="10">
        <v>104</v>
      </c>
      <c r="B4" s="9" t="s">
        <v>33</v>
      </c>
      <c r="C4" s="9" t="str">
        <f t="shared" si="0"/>
        <v>104 - Caixa Econômica Federal</v>
      </c>
    </row>
    <row r="5" spans="1:3" x14ac:dyDescent="0.25">
      <c r="A5" s="10">
        <v>119</v>
      </c>
      <c r="B5" s="9" t="s">
        <v>34</v>
      </c>
      <c r="C5" s="9" t="str">
        <f t="shared" si="0"/>
        <v>119 - Banco Western Union do Brasil</v>
      </c>
    </row>
    <row r="6" spans="1:3" x14ac:dyDescent="0.25">
      <c r="A6" s="10">
        <v>184</v>
      </c>
      <c r="B6" s="9" t="s">
        <v>35</v>
      </c>
      <c r="C6" s="9" t="str">
        <f t="shared" si="0"/>
        <v>184 - Banco Itaú BBA S.A.</v>
      </c>
    </row>
    <row r="7" spans="1:3" x14ac:dyDescent="0.25">
      <c r="A7" s="10">
        <v>197</v>
      </c>
      <c r="B7" s="9" t="s">
        <v>36</v>
      </c>
      <c r="C7" s="9" t="str">
        <f t="shared" si="0"/>
        <v>197 - Stone Pagamentos</v>
      </c>
    </row>
    <row r="8" spans="1:3" x14ac:dyDescent="0.25">
      <c r="A8" s="10">
        <v>208</v>
      </c>
      <c r="B8" s="9" t="s">
        <v>37</v>
      </c>
      <c r="C8" s="9" t="str">
        <f t="shared" si="0"/>
        <v>208 - Banco BTG Pactual</v>
      </c>
    </row>
    <row r="9" spans="1:3" x14ac:dyDescent="0.25">
      <c r="A9" s="10">
        <v>212</v>
      </c>
      <c r="B9" s="9" t="s">
        <v>38</v>
      </c>
      <c r="C9" s="9" t="str">
        <f t="shared" si="0"/>
        <v>212 - Banco Original</v>
      </c>
    </row>
    <row r="10" spans="1:3" x14ac:dyDescent="0.25">
      <c r="A10" s="10">
        <v>218</v>
      </c>
      <c r="B10" s="9" t="s">
        <v>39</v>
      </c>
      <c r="C10" s="9" t="str">
        <f t="shared" si="0"/>
        <v>218 - Banco Bonsucesso</v>
      </c>
    </row>
    <row r="11" spans="1:3" x14ac:dyDescent="0.25">
      <c r="A11" s="10">
        <v>229</v>
      </c>
      <c r="B11" s="9" t="s">
        <v>40</v>
      </c>
      <c r="C11" s="9" t="str">
        <f t="shared" si="0"/>
        <v>229 - Banco Cruzeiro do Sul</v>
      </c>
    </row>
    <row r="12" spans="1:3" x14ac:dyDescent="0.25">
      <c r="A12" s="10">
        <v>237</v>
      </c>
      <c r="B12" s="9" t="s">
        <v>41</v>
      </c>
      <c r="C12" s="9" t="str">
        <f t="shared" si="0"/>
        <v>237 - Banco Bradesco</v>
      </c>
    </row>
    <row r="13" spans="1:3" x14ac:dyDescent="0.25">
      <c r="A13" s="10">
        <v>24</v>
      </c>
      <c r="B13" s="9" t="s">
        <v>42</v>
      </c>
      <c r="C13" s="9" t="str">
        <f t="shared" si="0"/>
        <v>24 - Banco de Pernambuco</v>
      </c>
    </row>
    <row r="14" spans="1:3" x14ac:dyDescent="0.25">
      <c r="A14" s="10">
        <v>241</v>
      </c>
      <c r="B14" s="9" t="s">
        <v>43</v>
      </c>
      <c r="C14" s="9" t="str">
        <f t="shared" si="0"/>
        <v>241 - Banco Clássico</v>
      </c>
    </row>
    <row r="15" spans="1:3" x14ac:dyDescent="0.25">
      <c r="A15" s="10">
        <v>250</v>
      </c>
      <c r="B15" s="9" t="s">
        <v>44</v>
      </c>
      <c r="C15" s="9" t="str">
        <f t="shared" si="0"/>
        <v>250 - Banco de Crédito e Varejo (BCV)</v>
      </c>
    </row>
    <row r="16" spans="1:3" x14ac:dyDescent="0.25">
      <c r="A16" s="10">
        <v>260</v>
      </c>
      <c r="B16" s="9" t="s">
        <v>45</v>
      </c>
      <c r="C16" s="9" t="str">
        <f t="shared" si="0"/>
        <v>260 - Nubank</v>
      </c>
    </row>
    <row r="17" spans="1:3" x14ac:dyDescent="0.25">
      <c r="A17" s="10">
        <v>29</v>
      </c>
      <c r="B17" s="9" t="s">
        <v>46</v>
      </c>
      <c r="C17" s="9" t="str">
        <f t="shared" si="0"/>
        <v>29 - Banco do Estado do Rio de Janeiro</v>
      </c>
    </row>
    <row r="18" spans="1:3" x14ac:dyDescent="0.25">
      <c r="A18" s="10">
        <v>290</v>
      </c>
      <c r="B18" s="9" t="s">
        <v>47</v>
      </c>
      <c r="C18" s="9" t="str">
        <f t="shared" si="0"/>
        <v>290 - PagBank</v>
      </c>
    </row>
    <row r="19" spans="1:3" x14ac:dyDescent="0.25">
      <c r="A19" s="10">
        <v>3</v>
      </c>
      <c r="B19" s="9" t="s">
        <v>48</v>
      </c>
      <c r="C19" s="9" t="str">
        <f t="shared" si="0"/>
        <v>3 - Banco da Amazônia</v>
      </c>
    </row>
    <row r="20" spans="1:3" x14ac:dyDescent="0.25">
      <c r="A20" s="10">
        <v>33</v>
      </c>
      <c r="B20" s="9" t="s">
        <v>49</v>
      </c>
      <c r="C20" s="9" t="str">
        <f t="shared" si="0"/>
        <v>33 - Banco Santander</v>
      </c>
    </row>
    <row r="21" spans="1:3" x14ac:dyDescent="0.25">
      <c r="A21" s="10">
        <v>336</v>
      </c>
      <c r="B21" s="9" t="s">
        <v>50</v>
      </c>
      <c r="C21" s="9" t="str">
        <f t="shared" si="0"/>
        <v>336 - C6 Bank</v>
      </c>
    </row>
    <row r="22" spans="1:3" x14ac:dyDescent="0.25">
      <c r="A22" s="10">
        <v>341</v>
      </c>
      <c r="B22" s="9" t="s">
        <v>51</v>
      </c>
      <c r="C22" s="9" t="str">
        <f t="shared" si="0"/>
        <v>341 - Itaú Unibanco</v>
      </c>
    </row>
    <row r="23" spans="1:3" x14ac:dyDescent="0.25">
      <c r="A23" s="10">
        <v>37</v>
      </c>
      <c r="B23" s="9" t="s">
        <v>52</v>
      </c>
      <c r="C23" s="9" t="str">
        <f t="shared" si="0"/>
        <v>37 - Banco do Estado do Pará</v>
      </c>
    </row>
    <row r="24" spans="1:3" x14ac:dyDescent="0.25">
      <c r="A24" s="10">
        <v>376</v>
      </c>
      <c r="B24" s="9" t="s">
        <v>53</v>
      </c>
      <c r="C24" s="9" t="str">
        <f t="shared" si="0"/>
        <v>376 - Banco JPMorgan S.A.</v>
      </c>
    </row>
    <row r="25" spans="1:3" x14ac:dyDescent="0.25">
      <c r="A25" s="10">
        <v>380</v>
      </c>
      <c r="B25" s="9" t="s">
        <v>54</v>
      </c>
      <c r="C25" s="9" t="str">
        <f t="shared" si="0"/>
        <v>380 - PicPay</v>
      </c>
    </row>
    <row r="26" spans="1:3" x14ac:dyDescent="0.25">
      <c r="A26" s="10">
        <v>4</v>
      </c>
      <c r="B26" s="9" t="s">
        <v>55</v>
      </c>
      <c r="C26" s="9" t="str">
        <f t="shared" si="0"/>
        <v>4 - Banco do Nordeste do Brasil</v>
      </c>
    </row>
    <row r="27" spans="1:3" x14ac:dyDescent="0.25">
      <c r="A27" s="10">
        <v>41</v>
      </c>
      <c r="B27" s="9" t="s">
        <v>56</v>
      </c>
      <c r="C27" s="9" t="str">
        <f t="shared" si="0"/>
        <v>41 - Banco do Estado do Rio Grande do Sul</v>
      </c>
    </row>
    <row r="28" spans="1:3" x14ac:dyDescent="0.25">
      <c r="A28" s="10">
        <v>422</v>
      </c>
      <c r="B28" s="9" t="s">
        <v>57</v>
      </c>
      <c r="C28" s="9" t="str">
        <f t="shared" si="0"/>
        <v>422 - Banco Safra</v>
      </c>
    </row>
    <row r="29" spans="1:3" x14ac:dyDescent="0.25">
      <c r="A29" s="10">
        <v>44</v>
      </c>
      <c r="B29" s="9" t="s">
        <v>58</v>
      </c>
      <c r="C29" s="9" t="str">
        <f t="shared" si="0"/>
        <v>44 - Banco BVA</v>
      </c>
    </row>
    <row r="30" spans="1:3" x14ac:dyDescent="0.25">
      <c r="A30" s="10">
        <v>464</v>
      </c>
      <c r="B30" s="9" t="s">
        <v>59</v>
      </c>
      <c r="C30" s="9" t="str">
        <f t="shared" si="0"/>
        <v>464 - Banco Sumitomo Mitsui Brasileiro</v>
      </c>
    </row>
    <row r="31" spans="1:3" x14ac:dyDescent="0.25">
      <c r="A31" s="10">
        <v>477</v>
      </c>
      <c r="B31" s="9" t="s">
        <v>60</v>
      </c>
      <c r="C31" s="9" t="str">
        <f t="shared" si="0"/>
        <v>477 - Citibank</v>
      </c>
    </row>
    <row r="32" spans="1:3" x14ac:dyDescent="0.25">
      <c r="A32" s="10">
        <v>600</v>
      </c>
      <c r="B32" s="9" t="s">
        <v>61</v>
      </c>
      <c r="C32" s="9" t="str">
        <f t="shared" si="0"/>
        <v>600 - Banco Luso Brasileiro</v>
      </c>
    </row>
    <row r="33" spans="1:3" x14ac:dyDescent="0.25">
      <c r="A33" s="10">
        <v>604</v>
      </c>
      <c r="B33" s="9" t="s">
        <v>62</v>
      </c>
      <c r="C33" s="9" t="str">
        <f t="shared" si="0"/>
        <v>604 - Banco Industrial do Brasil</v>
      </c>
    </row>
    <row r="34" spans="1:3" x14ac:dyDescent="0.25">
      <c r="A34" s="10">
        <v>610</v>
      </c>
      <c r="B34" s="9" t="s">
        <v>63</v>
      </c>
      <c r="C34" s="9" t="str">
        <f t="shared" si="0"/>
        <v>610 - Banco VR</v>
      </c>
    </row>
    <row r="35" spans="1:3" x14ac:dyDescent="0.25">
      <c r="A35" s="10">
        <v>62</v>
      </c>
      <c r="B35" s="9" t="s">
        <v>64</v>
      </c>
      <c r="C35" s="9" t="str">
        <f t="shared" si="0"/>
        <v>62 - Hipercard Banco Múltiplo</v>
      </c>
    </row>
    <row r="36" spans="1:3" x14ac:dyDescent="0.25">
      <c r="A36" s="10">
        <v>634</v>
      </c>
      <c r="B36" s="9" t="s">
        <v>65</v>
      </c>
      <c r="C36" s="9" t="str">
        <f t="shared" si="0"/>
        <v>634 - Banco Triângulo</v>
      </c>
    </row>
    <row r="37" spans="1:3" x14ac:dyDescent="0.25">
      <c r="A37" s="10">
        <v>65</v>
      </c>
      <c r="B37" s="9" t="s">
        <v>66</v>
      </c>
      <c r="C37" s="9" t="str">
        <f t="shared" si="0"/>
        <v>65 - Banco Lemon</v>
      </c>
    </row>
    <row r="38" spans="1:3" x14ac:dyDescent="0.25">
      <c r="A38" s="10">
        <v>654</v>
      </c>
      <c r="B38" s="9" t="s">
        <v>67</v>
      </c>
      <c r="C38" s="9" t="str">
        <f t="shared" si="0"/>
        <v>654 - Banco AJ Renner</v>
      </c>
    </row>
    <row r="39" spans="1:3" x14ac:dyDescent="0.25">
      <c r="A39" s="10">
        <v>655</v>
      </c>
      <c r="B39" s="9" t="s">
        <v>68</v>
      </c>
      <c r="C39" s="9" t="str">
        <f t="shared" si="0"/>
        <v>655 - Banco Votorantim</v>
      </c>
    </row>
    <row r="40" spans="1:3" x14ac:dyDescent="0.25">
      <c r="A40" s="10">
        <v>66</v>
      </c>
      <c r="B40" s="9" t="s">
        <v>69</v>
      </c>
      <c r="C40" s="9" t="str">
        <f t="shared" si="0"/>
        <v>66 - Banco Morgan Stanley</v>
      </c>
    </row>
    <row r="41" spans="1:3" x14ac:dyDescent="0.25">
      <c r="A41" s="10">
        <v>707</v>
      </c>
      <c r="B41" s="9" t="s">
        <v>70</v>
      </c>
      <c r="C41" s="9" t="str">
        <f t="shared" si="0"/>
        <v>707 - Banco Daycoval</v>
      </c>
    </row>
    <row r="42" spans="1:3" x14ac:dyDescent="0.25">
      <c r="A42" s="10">
        <v>72</v>
      </c>
      <c r="B42" s="9" t="s">
        <v>71</v>
      </c>
      <c r="C42" s="9" t="str">
        <f t="shared" si="0"/>
        <v>72 - Banco Rural Mais</v>
      </c>
    </row>
    <row r="43" spans="1:3" x14ac:dyDescent="0.25">
      <c r="A43" s="10">
        <v>734</v>
      </c>
      <c r="B43" s="9" t="s">
        <v>72</v>
      </c>
      <c r="C43" s="9" t="str">
        <f t="shared" si="0"/>
        <v>734 - Banco Gerdau</v>
      </c>
    </row>
    <row r="44" spans="1:3" x14ac:dyDescent="0.25">
      <c r="A44" s="10">
        <v>735</v>
      </c>
      <c r="B44" s="9" t="s">
        <v>73</v>
      </c>
      <c r="C44" s="9" t="str">
        <f t="shared" si="0"/>
        <v>735 - Banco Neon</v>
      </c>
    </row>
    <row r="45" spans="1:3" x14ac:dyDescent="0.25">
      <c r="A45" s="10">
        <v>74</v>
      </c>
      <c r="B45" s="9" t="s">
        <v>74</v>
      </c>
      <c r="C45" s="9" t="str">
        <f t="shared" si="0"/>
        <v>74 - Banco J. Safra</v>
      </c>
    </row>
    <row r="46" spans="1:3" x14ac:dyDescent="0.25">
      <c r="A46" s="10">
        <v>746</v>
      </c>
      <c r="B46" s="9" t="s">
        <v>75</v>
      </c>
      <c r="C46" s="9" t="str">
        <f t="shared" si="0"/>
        <v>746 - Banco Modal</v>
      </c>
    </row>
    <row r="47" spans="1:3" x14ac:dyDescent="0.25">
      <c r="A47" s="10">
        <v>748</v>
      </c>
      <c r="B47" s="9" t="s">
        <v>76</v>
      </c>
      <c r="C47" s="9" t="str">
        <f t="shared" si="0"/>
        <v>748 - Banco Cooperativo Sicredi S.A.</v>
      </c>
    </row>
    <row r="48" spans="1:3" x14ac:dyDescent="0.25">
      <c r="A48" s="10">
        <v>749</v>
      </c>
      <c r="B48" s="9" t="s">
        <v>77</v>
      </c>
      <c r="C48" s="9" t="str">
        <f t="shared" si="0"/>
        <v>749 - Banco Simples</v>
      </c>
    </row>
    <row r="49" spans="1:3" x14ac:dyDescent="0.25">
      <c r="A49" s="10">
        <v>77</v>
      </c>
      <c r="B49" s="9" t="s">
        <v>78</v>
      </c>
      <c r="C49" s="9" t="str">
        <f t="shared" si="0"/>
        <v>77 - Banco Inter</v>
      </c>
    </row>
    <row r="50" spans="1:3" x14ac:dyDescent="0.25">
      <c r="A50" s="10">
        <v>79</v>
      </c>
      <c r="B50" s="9" t="s">
        <v>79</v>
      </c>
      <c r="C50" s="9" t="str">
        <f t="shared" si="0"/>
        <v>79 - Banco JBS</v>
      </c>
    </row>
    <row r="51" spans="1:3" x14ac:dyDescent="0.25">
      <c r="A51" s="10">
        <v>82</v>
      </c>
      <c r="B51" s="9" t="s">
        <v>80</v>
      </c>
      <c r="C51" s="9" t="str">
        <f t="shared" si="0"/>
        <v>82 - Banco Topázio</v>
      </c>
    </row>
  </sheetData>
  <autoFilter ref="A1:C51" xr:uid="{EEAC6A54-D1C4-44D3-81D9-8E7B426CD3F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Titular</vt:lpstr>
      <vt:lpstr>Informes</vt:lpstr>
      <vt:lpstr>Notas</vt:lpstr>
      <vt:lpstr>Bancos</vt:lpstr>
      <vt:lpstr>V_Bancos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Xavier</dc:creator>
  <cp:lastModifiedBy>Carlo Xavier</cp:lastModifiedBy>
  <dcterms:created xsi:type="dcterms:W3CDTF">2025-06-17T00:14:27Z</dcterms:created>
  <dcterms:modified xsi:type="dcterms:W3CDTF">2025-06-21T20:50:54Z</dcterms:modified>
</cp:coreProperties>
</file>